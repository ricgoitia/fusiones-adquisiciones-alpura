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1" sheetId="1" state="visible" r:id="rId3"/>
    <sheet name="Tabla 2" sheetId="2" state="visible" r:id="rId4"/>
    <sheet name="Tabla 3" sheetId="3" state="visible" r:id="rId5"/>
    <sheet name="Tabla 4" sheetId="4" state="visible" r:id="rId6"/>
    <sheet name="Razones financieras Alpura" sheetId="5" state="visible" r:id="rId7"/>
    <sheet name="Tabla 5" sheetId="6" state="visible" r:id="rId8"/>
    <sheet name="Supuestos y proyección" sheetId="7" state="visible" r:id="rId9"/>
    <sheet name="Flujos de largo plazo" sheetId="8" state="visible" r:id="rId10"/>
    <sheet name="Tabla 6" sheetId="9" state="visible" r:id="rId11"/>
  </sheets>
  <definedNames>
    <definedName function="false" hidden="false" name="Costo_capital" vbProcedure="false">'Supuestos y proyección'!$B$7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<sst xmlns="http://schemas.openxmlformats.org/spreadsheetml/2006/main" count="233" uniqueCount="206">
  <si>
    <t xml:space="preserve">Tabla 1. Alineación de Alpura con los objetivos de Danone</t>
  </si>
  <si>
    <t xml:space="preserve">Objetivo de la búsqueda</t>
  </si>
  <si>
    <t xml:space="preserve">Contribución de Alpura</t>
  </si>
  <si>
    <t xml:space="preserve">Incrementar la participación de mercado</t>
  </si>
  <si>
    <t xml:space="preserve">La suma pasaría de 3.9% a cerca de 14.7% del mercado lácteo; Danone quedaría segundo, detrás de Lala (21.5%)</t>
  </si>
  <si>
    <t xml:space="preserve">Diversificación de productos</t>
  </si>
  <si>
    <t xml:space="preserve">Agrega leche UHT, deslactosada, evaporada, crema y quesos, que Danone no fabrica en México</t>
  </si>
  <si>
    <t xml:space="preserve">Expansión (nuevos mercados y canales)</t>
  </si>
  <si>
    <t xml:space="preserve">Red refrigerada en el canal tradicional (más de 100,000 puntos de venta) para mover yogur y leche en una misma ruta</t>
  </si>
  <si>
    <t xml:space="preserve">Reducción de costos y ventaja competitiva</t>
  </si>
  <si>
    <t xml:space="preserve">Abasto propio de leche: hoy la red Margarita aporta solo 25% de la leche de Danone en México (Expansión, 2025)</t>
  </si>
  <si>
    <t xml:space="preserve">Maximizar el valor de los accionistas</t>
  </si>
  <si>
    <t xml:space="preserve">Sinergias estimadas de 800 millones de pesos anuales, siempre que el precio no las transfiera al vendedor</t>
  </si>
  <si>
    <t xml:space="preserve">Fuente: elaboración propia con base en Forbes México (2017), América Retail (2025) y Expansión (2025).</t>
  </si>
  <si>
    <t xml:space="preserve">Tabla 2. Objetivos de búsqueda de Danone</t>
  </si>
  <si>
    <t xml:space="preserve">Pregunta</t>
  </si>
  <si>
    <t xml:space="preserve">Respuesta para Danone</t>
  </si>
  <si>
    <t xml:space="preserve">¿Industria, productos y mercado?</t>
  </si>
  <si>
    <t xml:space="preserve">Lácteos: leche fluida, crema y quesos en México, con presencia nacional</t>
  </si>
  <si>
    <t xml:space="preserve">¿Participación y crecimiento buscados?</t>
  </si>
  <si>
    <t xml:space="preserve">Empresa con más de 5% del mercado, para superar 10% y crecer más que el 3–5% anual del plan de Danone</t>
  </si>
  <si>
    <t xml:space="preserve">¿Inversión requerida?</t>
  </si>
  <si>
    <t xml:space="preserve">Hasta 24,000 millones de pesos de valor empresa, con flujo propio y deuda</t>
  </si>
  <si>
    <t xml:space="preserve">¿Expansión internacional y país?</t>
  </si>
  <si>
    <t xml:space="preserve">No; consolidación en México, quinto mercado del grupo</t>
  </si>
  <si>
    <t xml:space="preserve">¿Riesgo tolerado?</t>
  </si>
  <si>
    <t xml:space="preserve">Moderado: se acepta riesgo laboral y regulatorio mitigable, no un riesgo de objeción total por competencia</t>
  </si>
  <si>
    <t xml:space="preserve">Fuente: elaboración propia con base en Mascareñas (2019) y Danone (2026).</t>
  </si>
  <si>
    <t xml:space="preserve">Tabla 3. Revisión de elementos legales</t>
  </si>
  <si>
    <t xml:space="preserve">Elemento</t>
  </si>
  <si>
    <t xml:space="preserve">Hallazgo en Alpura</t>
  </si>
  <si>
    <t xml:space="preserve">Riesgo</t>
  </si>
  <si>
    <t xml:space="preserve">Aspectos corporativos</t>
  </si>
  <si>
    <t xml:space="preserve">Acta constitutiva de 1970; capital repartido entre ganaderos socios con unión de crédito propia (UAM, s. f.)</t>
  </si>
  <si>
    <t xml:space="preserve">Alto: revisar gravámenes sobre acciones, derechos de preferencia y asambleas en el RPPC</t>
  </si>
  <si>
    <t xml:space="preserve">Patentes y marcas</t>
  </si>
  <si>
    <t xml:space="preserve">Marcas Alpura, Alpura 2000, Frutal y personajes “Cuartitos”</t>
  </si>
  <si>
    <t xml:space="preserve">Bajo: confirmar registros vigentes ante el IMPI</t>
  </si>
  <si>
    <t xml:space="preserve">Contratos vigentes</t>
  </si>
  <si>
    <t xml:space="preserve">Laboral: contrato colectivo con la CROC. Comerciales: suministro con ranchos socios y autoservicios. Bancarios: créditos por 6,500 millones</t>
  </si>
  <si>
    <t xml:space="preserve">Medio: cláusulas de cambio de control y precio de la leche a socios</t>
  </si>
  <si>
    <t xml:space="preserve">Cumplimiento regulatorio</t>
  </si>
  <si>
    <t xml:space="preserve">Permisos de Cofepris, NOM-243-SSA1-2010 y NOM-051 (etiquetado), IMSS y protección civil; notificación a la Comisión Nacional Antimonopolio (Galicia Abogados, 2025)</t>
  </si>
  <si>
    <t xml:space="preserve">Medio: sellos en leches saborizadas; posible condición en yogur</t>
  </si>
  <si>
    <t xml:space="preserve">Litigios</t>
  </si>
  <si>
    <t xml:space="preserve">Conflicto laboral con emplazamiento a huelga en 2025 (Posta, 2025); revisar litigios civiles, mercantiles y fiscales</t>
  </si>
  <si>
    <t xml:space="preserve">Medio-alto: pasivo laboral contingente</t>
  </si>
  <si>
    <t xml:space="preserve">Cumplimiento fiscal</t>
  </si>
  <si>
    <t xml:space="preserve">Verificar opinión de cumplimiento del SAT y declaraciones de los últimos cinco años</t>
  </si>
  <si>
    <t xml:space="preserve">Medio: sin información pública</t>
  </si>
  <si>
    <t xml:space="preserve">Fuente: elaboración propia con base en Universidad Tecmilenio (s. f.-b), UAM (s. f.) y Posta (2025).</t>
  </si>
  <si>
    <t xml:space="preserve">Tabla 4. Información financiera estimada de Alpura (millones de pesos)</t>
  </si>
  <si>
    <t xml:space="preserve">Concepto</t>
  </si>
  <si>
    <t xml:space="preserve">2023</t>
  </si>
  <si>
    <t xml:space="preserve">2024</t>
  </si>
  <si>
    <t xml:space="preserve">2025</t>
  </si>
  <si>
    <t xml:space="preserve">Vertical 2025</t>
  </si>
  <si>
    <t xml:space="preserve">Horizontal 23–25</t>
  </si>
  <si>
    <t xml:space="preserve">Ventas netas</t>
  </si>
  <si>
    <t xml:space="preserve">Utilidad bruta</t>
  </si>
  <si>
    <t xml:space="preserve">EBITDA</t>
  </si>
  <si>
    <t xml:space="preserve">Utilidad neta</t>
  </si>
  <si>
    <t xml:space="preserve">Deuda neta</t>
  </si>
  <si>
    <t xml:space="preserve">—</t>
  </si>
  <si>
    <t xml:space="preserve">Inversión en activos (CapEx)</t>
  </si>
  <si>
    <t xml:space="preserve">Fuente: estimación propia (cifras ficticias). Ventas proyectadas desde 15,000 millones en 2015 (Expansión, 2016) </t>
  </si>
  <si>
    <t xml:space="preserve">con un crecimiento promedio de 6.3% anual; márgenes típicos del sector lácteo; capex de 2025 basado en el plan de inversión de 10,000 millones en cuatro años (América Retail, 2025).</t>
  </si>
  <si>
    <t xml:space="preserve">Notas: cifras en azul = datos capturados; en negro = fórmulas. Vertical 2025 = concepto / ventas netas 2025. Horizontal 23–25 = (2025 / 2023) − 1. La deuda neta no se expresa como % de ventas.</t>
  </si>
  <si>
    <t xml:space="preserve">Razones financieras de Alpura 2025 (cifras estimadas)</t>
  </si>
  <si>
    <t xml:space="preserve">Datos base (millones de pesos)</t>
  </si>
  <si>
    <t xml:space="preserve">Valor</t>
  </si>
  <si>
    <t xml:space="preserve">Fuente</t>
  </si>
  <si>
    <t xml:space="preserve">Ventas netas 2025</t>
  </si>
  <si>
    <t xml:space="preserve">Tabla 4 (estimación propia)</t>
  </si>
  <si>
    <t xml:space="preserve">EBITDA 2025</t>
  </si>
  <si>
    <t xml:space="preserve">Deuda neta 2025</t>
  </si>
  <si>
    <t xml:space="preserve">Margen operativo recurrente de Danone 2025</t>
  </si>
  <si>
    <t xml:space="preserve">Danone (2026)</t>
  </si>
  <si>
    <t xml:space="preserve">Límite bancario de deuda neta / EBITDA</t>
  </si>
  <si>
    <t xml:space="preserve">Supuesto de referencia del sector</t>
  </si>
  <si>
    <t xml:space="preserve">Razones financieras 2025</t>
  </si>
  <si>
    <t xml:space="preserve">Categoría</t>
  </si>
  <si>
    <t xml:space="preserve">Razón</t>
  </si>
  <si>
    <t xml:space="preserve">Fórmula</t>
  </si>
  <si>
    <t xml:space="preserve">Resultado 2025</t>
  </si>
  <si>
    <t xml:space="preserve">Interpretación</t>
  </si>
  <si>
    <t xml:space="preserve">Liquidez</t>
  </si>
  <si>
    <t xml:space="preserve">Razón circulante</t>
  </si>
  <si>
    <t xml:space="preserve">Activo circulante / pasivo circulante</t>
  </si>
  <si>
    <t xml:space="preserve">Cubre 1.3 pesos de deuda de corto plazo por cada peso que debe.</t>
  </si>
  <si>
    <t xml:space="preserve">Prueba ácida</t>
  </si>
  <si>
    <t xml:space="preserve">(Activo circulante − inventarios) / pasivo circulante</t>
  </si>
  <si>
    <t xml:space="preserve">Sin inventarios no alcanza a cubrir toda su deuda de corto plazo.</t>
  </si>
  <si>
    <t xml:space="preserve">Actividad</t>
  </si>
  <si>
    <t xml:space="preserve">Días de inventario</t>
  </si>
  <si>
    <t xml:space="preserve">Inventario / costo de ventas × 365</t>
  </si>
  <si>
    <t xml:space="preserve">Rotación alta, propia de productos perecederos.</t>
  </si>
  <si>
    <t xml:space="preserve">Días de cobro</t>
  </si>
  <si>
    <t xml:space="preserve">Cuentas por cobrar / ventas × 365</t>
  </si>
  <si>
    <t xml:space="preserve">Plazo de crédito típico con autoservicios.</t>
  </si>
  <si>
    <t xml:space="preserve">Días de pago</t>
  </si>
  <si>
    <t xml:space="preserve">Cuentas por pagar / costo de ventas × 365</t>
  </si>
  <si>
    <t xml:space="preserve">Paga a proveedores después de cobrar a clientes.</t>
  </si>
  <si>
    <t xml:space="preserve">Ciclo financiero</t>
  </si>
  <si>
    <t xml:space="preserve">Días de inventario + días de cobro − días de pago</t>
  </si>
  <si>
    <t xml:space="preserve">Necesita poco capital de trabajo.</t>
  </si>
  <si>
    <t xml:space="preserve">Rentabilidad</t>
  </si>
  <si>
    <t xml:space="preserve">Margen EBITDA</t>
  </si>
  <si>
    <t xml:space="preserve">EBITDA / ventas netas</t>
  </si>
  <si>
    <t xml:space="preserve">Menor que el margen de Danone: la compra es dilutiva.</t>
  </si>
  <si>
    <t xml:space="preserve">Diferencia contra Danone</t>
  </si>
  <si>
    <t xml:space="preserve">Margen EBITDA Alpura − margen Danone</t>
  </si>
  <si>
    <t xml:space="preserve">Puntos porcentuales por debajo de Danone.</t>
  </si>
  <si>
    <t xml:space="preserve">Apalancamiento</t>
  </si>
  <si>
    <t xml:space="preserve">Deuda neta / EBITDA</t>
  </si>
  <si>
    <t xml:space="preserve">Cerca del límite bancario.</t>
  </si>
  <si>
    <t xml:space="preserve">Margen contra el límite</t>
  </si>
  <si>
    <t xml:space="preserve">Límite bancario − deuda neta / EBITDA</t>
  </si>
  <si>
    <t xml:space="preserve">Holgura restante antes del límite.</t>
  </si>
  <si>
    <t xml:space="preserve">Flujo de efectivo libre proyectado (millones de pesos)</t>
  </si>
  <si>
    <t xml:space="preserve">Año</t>
  </si>
  <si>
    <t xml:space="preserve">Flujo libre</t>
  </si>
  <si>
    <t xml:space="preserve">Comentario</t>
  </si>
  <si>
    <t xml:space="preserve">Negativo por el plan de inversión de 10,000 millones en cuatro años (América Retail, 2025); incluye ISR, capex e incremento en capital de trabajo (ver Tabla 5).</t>
  </si>
  <si>
    <t xml:space="preserve">Fuente: estimación propia (cifras ficticias); Danone (2026); América Retail (2025).</t>
  </si>
  <si>
    <t xml:space="preserve">Notas: cifras en azul = datos capturados (supuestos); en negro = fórmulas. Las razones de liquidez y actividad son supuestos, porque Alpura no publica su balance.</t>
  </si>
  <si>
    <t xml:space="preserve">Tabla 5. Evaluación financiera de la compra del 100% (millones de pesos)</t>
  </si>
  <si>
    <t xml:space="preserve">Costo de capital de 10%; ventas y EBITDA crecen 7% anual; sinergias de 800 millones desde 2029; costos de integración de 1,000 millones; incluye ISR, capex e incremento en capital de trabajo; crecimiento a perpetuidad de 4%.</t>
  </si>
  <si>
    <t xml:space="preserve">Técnica</t>
  </si>
  <si>
    <t xml:space="preserve">Precio a 9× EBITDA</t>
  </si>
  <si>
    <t xml:space="preserve">Precio a 11× EBITDA</t>
  </si>
  <si>
    <t xml:space="preserve">Criterio de decisión</t>
  </si>
  <si>
    <t xml:space="preserve">Precio pagado (valor empresa)</t>
  </si>
  <si>
    <t xml:space="preserve">EBITDA 2025 × múltiplo, redondeado (2,670 × 9 y × 11)</t>
  </si>
  <si>
    <t xml:space="preserve">Valor presente neto (VPN)</t>
  </si>
  <si>
    <t xml:space="preserve">Aceptar si VPN &gt; 0</t>
  </si>
  <si>
    <t xml:space="preserve">Tasa interna de retorno (TIR)</t>
  </si>
  <si>
    <t xml:space="preserve">Aceptar si TIR &gt; costo de capital (10%)</t>
  </si>
  <si>
    <t xml:space="preserve">Recuperación de la inversión</t>
  </si>
  <si>
    <t xml:space="preserve">Años para recuperar el precio con flujos sin descontar</t>
  </si>
  <si>
    <t xml:space="preserve">Decisión</t>
  </si>
  <si>
    <t xml:space="preserve">VPN positivo y TIR mayor al costo de capital</t>
  </si>
  <si>
    <t xml:space="preserve">Valor presente de los flujos con sinergias</t>
  </si>
  <si>
    <t xml:space="preserve">Fuente: elaboración propia (cifras ficticias). Detalle del cálculo en las hojas "Supuestos y proyección" y "Flujos de largo plazo".</t>
  </si>
  <si>
    <t xml:space="preserve">Supuestos y proyección del flujo de efectivo libre de Alpura (millones de pesos)</t>
  </si>
  <si>
    <t xml:space="preserve">Supuesto</t>
  </si>
  <si>
    <t xml:space="preserve">Tabla 4</t>
  </si>
  <si>
    <t xml:space="preserve">Crecimiento anual de ventas y EBITDA</t>
  </si>
  <si>
    <t xml:space="preserve">Costo de capital (tasa de descuento)</t>
  </si>
  <si>
    <t xml:space="preserve">Rendimiento mínimo exigido por Danone (supuesto)</t>
  </si>
  <si>
    <t xml:space="preserve">Crecimiento a perpetuidad (después de 2030)</t>
  </si>
  <si>
    <t xml:space="preserve">Cercano a la inflación de largo plazo (supuesto)</t>
  </si>
  <si>
    <t xml:space="preserve">Tasa de ISR</t>
  </si>
  <si>
    <t xml:space="preserve">Tasa corporativa en México</t>
  </si>
  <si>
    <t xml:space="preserve">Costo de ventas / ventas</t>
  </si>
  <si>
    <t xml:space="preserve">Margen bruto de 30% (Tabla 4)</t>
  </si>
  <si>
    <t xml:space="preserve">Capital de trabajo / ventas</t>
  </si>
  <si>
    <t xml:space="preserve">Fórmula: inventario + clientes − proveedores</t>
  </si>
  <si>
    <t xml:space="preserve">Proyección del flujo de efectivo libre</t>
  </si>
  <si>
    <t xml:space="preserve">2025 (base)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</si>
  <si>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</si>
  <si>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</si>
  <si>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</si>
  <si>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</si>
  <si>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</si>
  <si>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EBITDA de Alpura</t>
  </si>
  <si>
    <t xml:space="preserve">(+) Sinergias</t>
  </si>
  <si>
    <t xml:space="preserve">(−) Costos de integración</t>
  </si>
  <si>
    <t xml:space="preserve">(=) EBITDA ajustado</t>
  </si>
  <si>
    <t xml:space="preserve">(−) Depreciación y amortización</t>
  </si>
  <si>
    <t xml:space="preserve">(=) EBIT (utilidad de operación)</t>
  </si>
  <si>
    <t xml:space="preserve">(−) ISR sobre EBIT</t>
  </si>
  <si>
    <t xml:space="preserve">(=) NOPAT (utilidad operativa después de impuestos)</t>
  </si>
  <si>
    <t xml:space="preserve">(+) Depreciación y amortización</t>
  </si>
  <si>
    <t xml:space="preserve">(−) Inversión en activos (capex)</t>
  </si>
  <si>
    <t xml:space="preserve">Capital de trabajo (saldo)</t>
  </si>
  <si>
    <t xml:space="preserve">(−) Incremento en capital de trabajo</t>
  </si>
  <si>
    <t xml:space="preserve">(=) Flujo de efectivo libre</t>
  </si>
  <si>
    <t xml:space="preserve">Flujo de efectivo libre 2031 (primer año a perpetuidad)</t>
  </si>
  <si>
    <t xml:space="preserve">Valor terminal en 2030 = FEL 2031 / (costo de capital − crecimiento)</t>
  </si>
  <si>
    <t xml:space="preserve">Factor de descuento</t>
  </si>
  <si>
    <t xml:space="preserve">Valor presente del flujo (y del valor terminal en 2030)</t>
  </si>
  <si>
    <t xml:space="preserve">Valor presente total = valor máximo para Danone</t>
  </si>
  <si>
    <t xml:space="preserve">Equivale a (veces EBITDA 2025)</t>
  </si>
  <si>
    <t xml:space="preserve">Notas: cifras en azul = supuestos capturados; en negro = fórmulas. Paréntesis = cifras negativas. El ISR se calcula sobre el EBIT; a perpetuidad el capital de trabajo crece al mismo ritmo que las ventas.</t>
  </si>
  <si>
    <t xml:space="preserve">Flujos anuales para calcular TIR y recuperación (millones de pesos)</t>
  </si>
  <si>
    <t xml:space="preserve">Años 1–5: proyección explícita; desde el año 6 el flujo crece a la tasa de perpetuidad (equivale al valor terminal).</t>
  </si>
  <si>
    <t xml:space="preserve">Año calendario</t>
  </si>
  <si>
    <t xml:space="preserve">Flujo escenario A (9×)</t>
  </si>
  <si>
    <t xml:space="preserve">Acumulado A</t>
  </si>
  <si>
    <t xml:space="preserve">Flujo escenario B (11×)</t>
  </si>
  <si>
    <t xml:space="preserve">Acumulado B</t>
  </si>
  <si>
    <t xml:space="preserve">Tabla 6. Opciones de decisión para Danone</t>
  </si>
  <si>
    <t xml:space="preserve">Opción</t>
  </si>
  <si>
    <t xml:space="preserve">Cuándo aplicaría</t>
  </si>
  <si>
    <t xml:space="preserve">Veredicto</t>
  </si>
  <si>
    <t xml:space="preserve">Adquirir el 100% ahora</t>
  </si>
  <si>
    <t xml:space="preserve">Si el vendedor aceptara 9 veces EBITDA o menos, sin conflicto laboral abierto</t>
  </si>
  <si>
    <t xml:space="preserve">No recomendada hoy</t>
  </si>
  <si>
    <t xml:space="preserve">Renegociar</t>
  </si>
  <si>
    <t xml:space="preserve">Compra de 51–60% a no más de 9 veces EBITDA, opción sobre el resto en 3–5 años y earn-out ligado al EBITDA 2027–2028</t>
  </si>
  <si>
    <t xml:space="preserve">Recomendada</t>
  </si>
  <si>
    <t xml:space="preserve">Descartar</t>
  </si>
  <si>
    <t xml:space="preserve">Si el precio supera 10 veces EBITDA, si la autoridad exige vender marcas de yogur o si estalla la huelga</t>
  </si>
  <si>
    <t xml:space="preserve">Plan de salida: crecer con la red Margarita</t>
  </si>
  <si>
    <t xml:space="preserve">Fuente: elaboración propia.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</si>
</sst>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\+0.0%;\−0.0%;0.0%"/>
    <numFmt numFmtId="168" formatCode="0.0\x"/>
    <numFmt numFmtId="169" formatCode="0&quot; días&quot;"/>
    <numFmt numFmtId="170" formatCode="\+0.0%;\−0.0%"/>
    <numFmt numFmtId="171" formatCode="#,##0;\−#,##0"/>
    <numFmt numFmtId="172" formatCode="\+#,##0;\−#,##0"/>
    <numFmt numFmtId="173" formatCode="0&quot; años&quot;"/>
    <numFmt numFmtId="174" formatCode="0.0&quot;x EBITDA&quot;"/>
    <numFmt numFmtId="175" formatCode="0"/>
    <numFmt numFmtId="176" formatCode="#,##0;\(#,##0\)"/>
    <numFmt numFmtId="177" formatCode="0.000"/>
    <numFmt numFmtId="178" formatCode="#,##0;\(#,##0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4E7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1F2937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10"/>
      <color rgb="FF555555"/>
      <name val="Arial"/>
      <family val="2"/>
      <charset val="1"/>
    </font>
    <font>
      <sz val="10"/>
      <color rgb="FF555555"/>
      <name val="Arial"/>
      <family val="2"/>
      <charset val="1"/>
    </font>
    <font>
      <b val="true"/>
      <sz val="12"/>
      <color rgb="FF1F4E79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sz val="9"/>
      <color rgb="FF555555"/>
      <name val="Arial"/>
      <family val="2"/>
      <charset val="1"/>
    </font>
    <font>
      <b val="true"/>
      <sz val="10"/>
      <color rgb="FF1F2937"/>
      <name val="Arial"/>
      <family val="2"/>
      <charset val="1"/>
    </font>
    <font>
      <i val="true"/>
      <sz val="9"/>
      <color rgb="FF555555"/>
      <name val="Arial"/>
      <family val="2"/>
      <charset val="1"/>
    </font>
    <font>
      <sz val="9"/>
      <color rgb="FF555555"/>
      <name val="Arial"/>
      <family val="0"/>
      <charset val="1"/>
    </font>
    <font>
      <b val="true"/>
      <sz val="10"/>
      <color rgb="FF1F293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5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1F2937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0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8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4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10" customFormat="false" ht="15" hidden="false" customHeight="false" outlineLevel="0" collapsed="false">
      <c r="A10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</row>
    <row r="5" customFormat="false" ht="15" hidden="false" customHeight="false" outlineLevel="0" collapsed="false">
      <c r="A5" s="4" t="s">
        <v>19</v>
      </c>
      <c r="B5" s="4" t="s">
        <v>20</v>
      </c>
    </row>
    <row r="6" customFormat="false" ht="15" hidden="false" customHeight="false" outlineLevel="0" collapsed="false">
      <c r="A6" s="3" t="s">
        <v>21</v>
      </c>
      <c r="B6" s="3" t="s">
        <v>22</v>
      </c>
    </row>
    <row r="7" customFormat="false" ht="15" hidden="false" customHeight="false" outlineLevel="0" collapsed="false">
      <c r="A7" s="4" t="s">
        <v>23</v>
      </c>
      <c r="B7" s="4" t="s">
        <v>24</v>
      </c>
    </row>
    <row r="8" customFormat="false" ht="15" hidden="false" customHeight="false" outlineLevel="0" collapsed="false">
      <c r="A8" s="3" t="s">
        <v>25</v>
      </c>
      <c r="B8" s="3" t="s">
        <v>26</v>
      </c>
    </row>
    <row r="10" customFormat="false" ht="15" hidden="false" customHeight="false" outlineLevel="0" collapsed="false">
      <c r="A10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2" t="s">
        <v>29</v>
      </c>
      <c r="B3" s="2" t="s">
        <v>30</v>
      </c>
      <c r="C3" s="2" t="s">
        <v>31</v>
      </c>
    </row>
    <row r="4" customFormat="false" ht="23.85" hidden="false" customHeight="false" outlineLevel="0" collapsed="false">
      <c r="A4" s="3" t="s">
        <v>32</v>
      </c>
      <c r="B4" s="3" t="s">
        <v>33</v>
      </c>
      <c r="C4" s="3" t="s">
        <v>34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</row>
    <row r="6" customFormat="false" ht="23.85" hidden="false" customHeight="false" outlineLevel="0" collapsed="false">
      <c r="A6" s="3" t="s">
        <v>38</v>
      </c>
      <c r="B6" s="3" t="s">
        <v>39</v>
      </c>
      <c r="C6" s="3" t="s">
        <v>40</v>
      </c>
    </row>
    <row r="7" customFormat="false" ht="23.85" hidden="false" customHeight="false" outlineLevel="0" collapsed="false">
      <c r="A7" s="4" t="s">
        <v>41</v>
      </c>
      <c r="B7" s="4" t="s">
        <v>42</v>
      </c>
      <c r="C7" s="4" t="s">
        <v>43</v>
      </c>
    </row>
    <row r="8" customFormat="false" ht="23.85" hidden="false" customHeight="false" outlineLevel="0" collapsed="false">
      <c r="A8" s="3" t="s">
        <v>44</v>
      </c>
      <c r="B8" s="3" t="s">
        <v>45</v>
      </c>
      <c r="C8" s="3" t="s">
        <v>46</v>
      </c>
    </row>
    <row r="9" customFormat="false" ht="15" hidden="false" customHeight="false" outlineLevel="0" collapsed="false">
      <c r="A9" s="4" t="s">
        <v>47</v>
      </c>
      <c r="B9" s="4" t="s">
        <v>48</v>
      </c>
      <c r="C9" s="4" t="s">
        <v>49</v>
      </c>
    </row>
    <row r="11" customFormat="false" ht="15" hidden="false" customHeight="false" outlineLevel="0" collapsed="false">
      <c r="A11" s="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17" activeCellId="0" sqref="D1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6.5"/>
    <col collapsed="false" customWidth="true" hidden="false" outlineLevel="0" max="4" min="2" style="0" width="11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51</v>
      </c>
    </row>
    <row r="3" customFormat="false" ht="27.75" hidden="false" customHeight="true" outlineLevel="0" collapsed="false">
      <c r="A3" s="7" t="s">
        <v>52</v>
      </c>
      <c r="B3" s="8" t="s">
        <v>53</v>
      </c>
      <c r="C3" s="8" t="s">
        <v>54</v>
      </c>
      <c r="D3" s="8" t="s">
        <v>55</v>
      </c>
      <c r="E3" s="8" t="s">
        <v>56</v>
      </c>
      <c r="F3" s="8" t="s">
        <v>57</v>
      </c>
    </row>
    <row r="4" customFormat="false" ht="15" hidden="false" customHeight="false" outlineLevel="0" collapsed="false">
      <c r="A4" s="9" t="s">
        <v>58</v>
      </c>
      <c r="B4" s="10" t="n">
        <v>24500</v>
      </c>
      <c r="C4" s="10" t="n">
        <v>26300</v>
      </c>
      <c r="D4" s="10" t="n">
        <v>28100</v>
      </c>
      <c r="E4" s="11" t="n">
        <f aca="false">D4/$D$4</f>
        <v>1</v>
      </c>
      <c r="F4" s="12" t="n">
        <f aca="false">D4/B4-1</f>
        <v>0.146938775510204</v>
      </c>
    </row>
    <row r="5" customFormat="false" ht="15" hidden="false" customHeight="false" outlineLevel="0" collapsed="false">
      <c r="A5" s="13" t="s">
        <v>59</v>
      </c>
      <c r="B5" s="14" t="n">
        <v>7230</v>
      </c>
      <c r="C5" s="14" t="n">
        <v>7890</v>
      </c>
      <c r="D5" s="14" t="n">
        <v>8430</v>
      </c>
      <c r="E5" s="15" t="n">
        <f aca="false">D5/$D$4</f>
        <v>0.3</v>
      </c>
      <c r="F5" s="16" t="n">
        <f aca="false">D5/B5-1</f>
        <v>0.16597510373444</v>
      </c>
    </row>
    <row r="6" customFormat="false" ht="15" hidden="false" customHeight="false" outlineLevel="0" collapsed="false">
      <c r="A6" s="9" t="s">
        <v>60</v>
      </c>
      <c r="B6" s="10" t="n">
        <v>2200</v>
      </c>
      <c r="C6" s="10" t="n">
        <v>2450</v>
      </c>
      <c r="D6" s="10" t="n">
        <v>2670</v>
      </c>
      <c r="E6" s="11" t="n">
        <f aca="false">D6/$D$4</f>
        <v>0.0950177935943061</v>
      </c>
      <c r="F6" s="12" t="n">
        <f aca="false">D6/B6-1</f>
        <v>0.213636363636364</v>
      </c>
    </row>
    <row r="7" customFormat="false" ht="15" hidden="false" customHeight="false" outlineLevel="0" collapsed="false">
      <c r="A7" s="13" t="s">
        <v>61</v>
      </c>
      <c r="B7" s="14" t="n">
        <v>455</v>
      </c>
      <c r="C7" s="14" t="n">
        <v>567</v>
      </c>
      <c r="D7" s="14" t="n">
        <v>679</v>
      </c>
      <c r="E7" s="15" t="n">
        <f aca="false">D7/$D$4</f>
        <v>0.0241637010676157</v>
      </c>
      <c r="F7" s="16" t="n">
        <f aca="false">D7/B7-1</f>
        <v>0.492307692307692</v>
      </c>
    </row>
    <row r="8" customFormat="false" ht="15" hidden="false" customHeight="false" outlineLevel="0" collapsed="false">
      <c r="A8" s="9" t="s">
        <v>62</v>
      </c>
      <c r="B8" s="10" t="n">
        <v>6800</v>
      </c>
      <c r="C8" s="10" t="n">
        <v>6600</v>
      </c>
      <c r="D8" s="10" t="n">
        <v>6500</v>
      </c>
      <c r="E8" s="17" t="s">
        <v>63</v>
      </c>
      <c r="F8" s="12" t="n">
        <f aca="false">D8/B8-1</f>
        <v>-0.0441176470588235</v>
      </c>
    </row>
    <row r="9" customFormat="false" ht="15" hidden="false" customHeight="false" outlineLevel="0" collapsed="false">
      <c r="A9" s="13" t="s">
        <v>64</v>
      </c>
      <c r="B9" s="14" t="n">
        <v>1300</v>
      </c>
      <c r="C9" s="14" t="n">
        <v>1600</v>
      </c>
      <c r="D9" s="14" t="n">
        <v>2500</v>
      </c>
      <c r="E9" s="15" t="n">
        <f aca="false">D9/$D$4</f>
        <v>0.0889679715302491</v>
      </c>
      <c r="F9" s="16" t="n">
        <f aca="false">D9/B9-1</f>
        <v>0.923076923076923</v>
      </c>
    </row>
    <row r="11" customFormat="false" ht="15" hidden="false" customHeight="false" outlineLevel="0" collapsed="false">
      <c r="A11" s="18" t="s">
        <v>65</v>
      </c>
    </row>
    <row r="12" customFormat="false" ht="15" hidden="false" customHeight="false" outlineLevel="0" collapsed="false">
      <c r="A12" s="18" t="s">
        <v>66</v>
      </c>
    </row>
    <row r="13" customFormat="false" ht="15" hidden="false" customHeight="false" outlineLevel="0" collapsed="false">
      <c r="A13" s="1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pane xSplit="0" ySplit="4" topLeftCell="A13" activePane="bottomLeft" state="frozen"/>
      <selection pane="topLeft" activeCell="A1" activeCellId="0" sqref="A1"/>
      <selection pane="bottomLeft" activeCell="D20" activeCellId="0" sqref="D2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15.75" hidden="false" customHeight="true" outlineLevel="0" collapsed="false">
      <c r="A1" s="20" t="s">
        <v>68</v>
      </c>
    </row>
    <row r="3" customFormat="false" ht="15" hidden="false" customHeight="false" outlineLevel="0" collapsed="false">
      <c r="A3" s="21" t="s">
        <v>69</v>
      </c>
    </row>
    <row r="4" customFormat="false" ht="15" hidden="false" customHeight="true" outlineLevel="0" collapsed="false">
      <c r="A4" s="7" t="s">
        <v>52</v>
      </c>
      <c r="B4" s="7"/>
      <c r="C4" s="7"/>
      <c r="D4" s="7" t="s">
        <v>70</v>
      </c>
      <c r="E4" s="7" t="s">
        <v>71</v>
      </c>
    </row>
    <row r="5" customFormat="false" ht="15" hidden="false" customHeight="true" outlineLevel="0" collapsed="false">
      <c r="A5" s="22" t="s">
        <v>72</v>
      </c>
      <c r="B5" s="22"/>
      <c r="C5" s="22"/>
      <c r="D5" s="23" t="n">
        <v>28100</v>
      </c>
      <c r="E5" s="22" t="s">
        <v>73</v>
      </c>
    </row>
    <row r="6" customFormat="false" ht="15" hidden="false" customHeight="true" outlineLevel="0" collapsed="false">
      <c r="A6" s="24" t="s">
        <v>74</v>
      </c>
      <c r="B6" s="24"/>
      <c r="C6" s="24"/>
      <c r="D6" s="25" t="n">
        <v>2670</v>
      </c>
      <c r="E6" s="24" t="s">
        <v>73</v>
      </c>
    </row>
    <row r="7" customFormat="false" ht="15" hidden="false" customHeight="true" outlineLevel="0" collapsed="false">
      <c r="A7" s="22" t="s">
        <v>75</v>
      </c>
      <c r="B7" s="22"/>
      <c r="C7" s="22"/>
      <c r="D7" s="23" t="n">
        <v>6500</v>
      </c>
      <c r="E7" s="22" t="s">
        <v>73</v>
      </c>
    </row>
    <row r="8" customFormat="false" ht="15" hidden="false" customHeight="true" outlineLevel="0" collapsed="false">
      <c r="A8" s="24" t="s">
        <v>76</v>
      </c>
      <c r="B8" s="24"/>
      <c r="C8" s="24"/>
      <c r="D8" s="26" t="n">
        <v>0.134</v>
      </c>
      <c r="E8" s="24" t="s">
        <v>77</v>
      </c>
    </row>
    <row r="9" customFormat="false" ht="15" hidden="false" customHeight="true" outlineLevel="0" collapsed="false">
      <c r="A9" s="22" t="s">
        <v>78</v>
      </c>
      <c r="B9" s="22"/>
      <c r="C9" s="22"/>
      <c r="D9" s="27" t="n">
        <v>2.5</v>
      </c>
      <c r="E9" s="22" t="s">
        <v>79</v>
      </c>
    </row>
    <row r="11" customFormat="false" ht="15" hidden="false" customHeight="false" outlineLevel="0" collapsed="false">
      <c r="A11" s="21" t="s">
        <v>80</v>
      </c>
    </row>
    <row r="12" customFormat="false" ht="15" hidden="false" customHeight="false" outlineLevel="0" collapsed="false">
      <c r="A12" s="7" t="s">
        <v>81</v>
      </c>
      <c r="B12" s="7" t="s">
        <v>82</v>
      </c>
      <c r="C12" s="7" t="s">
        <v>83</v>
      </c>
      <c r="D12" s="7" t="s">
        <v>84</v>
      </c>
      <c r="E12" s="7" t="s">
        <v>85</v>
      </c>
    </row>
    <row r="13" customFormat="false" ht="27.75" hidden="false" customHeight="true" outlineLevel="0" collapsed="false">
      <c r="A13" s="22" t="s">
        <v>86</v>
      </c>
      <c r="B13" s="22" t="s">
        <v>87</v>
      </c>
      <c r="C13" s="22" t="s">
        <v>88</v>
      </c>
      <c r="D13" s="27" t="n">
        <v>1.3</v>
      </c>
      <c r="E13" s="22" t="s">
        <v>89</v>
      </c>
    </row>
    <row r="14" customFormat="false" ht="27.75" hidden="false" customHeight="true" outlineLevel="0" collapsed="false">
      <c r="A14" s="24" t="s">
        <v>86</v>
      </c>
      <c r="B14" s="24" t="s">
        <v>90</v>
      </c>
      <c r="C14" s="24" t="s">
        <v>91</v>
      </c>
      <c r="D14" s="28" t="n">
        <v>0.9</v>
      </c>
      <c r="E14" s="24" t="s">
        <v>92</v>
      </c>
    </row>
    <row r="15" customFormat="false" ht="15" hidden="false" customHeight="false" outlineLevel="0" collapsed="false">
      <c r="A15" s="22" t="s">
        <v>93</v>
      </c>
      <c r="B15" s="22" t="s">
        <v>94</v>
      </c>
      <c r="C15" s="22" t="s">
        <v>95</v>
      </c>
      <c r="D15" s="29" t="n">
        <v>18</v>
      </c>
      <c r="E15" s="22" t="s">
        <v>96</v>
      </c>
    </row>
    <row r="16" customFormat="false" ht="15" hidden="false" customHeight="false" outlineLevel="0" collapsed="false">
      <c r="A16" s="24" t="s">
        <v>93</v>
      </c>
      <c r="B16" s="24" t="s">
        <v>97</v>
      </c>
      <c r="C16" s="24" t="s">
        <v>98</v>
      </c>
      <c r="D16" s="30" t="n">
        <v>32</v>
      </c>
      <c r="E16" s="24" t="s">
        <v>99</v>
      </c>
    </row>
    <row r="17" customFormat="false" ht="15" hidden="false" customHeight="false" outlineLevel="0" collapsed="false">
      <c r="A17" s="22" t="s">
        <v>93</v>
      </c>
      <c r="B17" s="22" t="s">
        <v>100</v>
      </c>
      <c r="C17" s="22" t="s">
        <v>101</v>
      </c>
      <c r="D17" s="29" t="n">
        <v>45</v>
      </c>
      <c r="E17" s="22" t="s">
        <v>102</v>
      </c>
    </row>
    <row r="18" customFormat="false" ht="27.75" hidden="false" customHeight="true" outlineLevel="0" collapsed="false">
      <c r="A18" s="24" t="s">
        <v>93</v>
      </c>
      <c r="B18" s="24" t="s">
        <v>103</v>
      </c>
      <c r="C18" s="24" t="s">
        <v>104</v>
      </c>
      <c r="D18" s="31" t="n">
        <f aca="false">D15+D16-D17</f>
        <v>5</v>
      </c>
      <c r="E18" s="24" t="s">
        <v>105</v>
      </c>
    </row>
    <row r="19" customFormat="false" ht="15" hidden="false" customHeight="false" outlineLevel="0" collapsed="false">
      <c r="A19" s="22" t="s">
        <v>106</v>
      </c>
      <c r="B19" s="22" t="s">
        <v>107</v>
      </c>
      <c r="C19" s="22" t="s">
        <v>108</v>
      </c>
      <c r="D19" s="32" t="n">
        <f aca="false">D6/D5</f>
        <v>0.0950177935943061</v>
      </c>
      <c r="E19" s="22" t="s">
        <v>109</v>
      </c>
    </row>
    <row r="20" customFormat="false" ht="15" hidden="false" customHeight="false" outlineLevel="0" collapsed="false">
      <c r="A20" s="24" t="s">
        <v>106</v>
      </c>
      <c r="B20" s="24" t="s">
        <v>110</v>
      </c>
      <c r="C20" s="24" t="s">
        <v>111</v>
      </c>
      <c r="D20" s="33" t="n">
        <f aca="false">D19-D8</f>
        <v>-0.038982206405694</v>
      </c>
      <c r="E20" s="24" t="s">
        <v>112</v>
      </c>
    </row>
    <row r="21" customFormat="false" ht="15" hidden="false" customHeight="false" outlineLevel="0" collapsed="false">
      <c r="A21" s="22" t="s">
        <v>113</v>
      </c>
      <c r="B21" s="22" t="s">
        <v>114</v>
      </c>
      <c r="C21" s="22" t="s">
        <v>114</v>
      </c>
      <c r="D21" s="34" t="n">
        <f aca="false">D7/D6</f>
        <v>2.43445692883895</v>
      </c>
      <c r="E21" s="22" t="s">
        <v>115</v>
      </c>
    </row>
    <row r="22" customFormat="false" ht="15" hidden="false" customHeight="false" outlineLevel="0" collapsed="false">
      <c r="A22" s="24" t="s">
        <v>113</v>
      </c>
      <c r="B22" s="24" t="s">
        <v>116</v>
      </c>
      <c r="C22" s="24" t="s">
        <v>117</v>
      </c>
      <c r="D22" s="35" t="n">
        <f aca="false">D9-D21</f>
        <v>0.0655430711610485</v>
      </c>
      <c r="E22" s="24" t="s">
        <v>118</v>
      </c>
    </row>
    <row r="24" customFormat="false" ht="15" hidden="false" customHeight="false" outlineLevel="0" collapsed="false">
      <c r="A24" s="21" t="s">
        <v>119</v>
      </c>
    </row>
    <row r="25" customFormat="false" ht="15" hidden="false" customHeight="true" outlineLevel="0" collapsed="false">
      <c r="A25" s="7" t="s">
        <v>120</v>
      </c>
      <c r="B25" s="7"/>
      <c r="C25" s="7"/>
      <c r="D25" s="7" t="s">
        <v>121</v>
      </c>
      <c r="E25" s="7" t="s">
        <v>122</v>
      </c>
    </row>
    <row r="26" customFormat="false" ht="27.75" hidden="false" customHeight="true" outlineLevel="0" collapsed="false">
      <c r="A26" s="36" t="n">
        <v>2026</v>
      </c>
      <c r="B26" s="36"/>
      <c r="C26" s="36"/>
      <c r="D26" s="37" t="n">
        <v>-691</v>
      </c>
      <c r="E26" s="22" t="s">
        <v>123</v>
      </c>
    </row>
    <row r="27" customFormat="false" ht="27.75" hidden="false" customHeight="true" outlineLevel="0" collapsed="false">
      <c r="A27" s="38" t="n">
        <v>2027</v>
      </c>
      <c r="B27" s="38"/>
      <c r="C27" s="38"/>
      <c r="D27" s="39" t="n">
        <v>-206</v>
      </c>
      <c r="E27" s="24" t="s">
        <v>123</v>
      </c>
    </row>
    <row r="29" customFormat="false" ht="15" hidden="false" customHeight="false" outlineLevel="0" collapsed="false">
      <c r="A29" s="18" t="s">
        <v>124</v>
      </c>
    </row>
    <row r="30" customFormat="false" ht="15" hidden="false" customHeight="false" outlineLevel="0" collapsed="false">
      <c r="A30" s="19" t="s">
        <v>125</v>
      </c>
    </row>
  </sheetData>
  <mergeCells count="9">
    <mergeCell ref="A4:C4"/>
    <mergeCell ref="A5:C5"/>
    <mergeCell ref="A6:C6"/>
    <mergeCell ref="A7:C7"/>
    <mergeCell ref="A8:C8"/>
    <mergeCell ref="A9:C9"/>
    <mergeCell ref="A25:C25"/>
    <mergeCell ref="A26:C26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0"/>
    <col collapsed="false" customWidth="true" hidden="false" outlineLevel="0" max="4" min="4" style="0" width="46"/>
  </cols>
  <sheetData>
    <row r="1" customFormat="false" ht="15.75" hidden="false" customHeight="true" outlineLevel="0" collapsed="false">
      <c r="A1" s="20" t="s">
        <v>126</v>
      </c>
    </row>
    <row r="2" customFormat="false" ht="15" hidden="false" customHeight="false" outlineLevel="0" collapsed="false">
      <c r="A2" s="40" t="s">
        <v>127</v>
      </c>
    </row>
    <row r="4" customFormat="false" ht="15" hidden="false" customHeight="false" outlineLevel="0" collapsed="false">
      <c r="A4" s="7" t="s">
        <v>128</v>
      </c>
      <c r="B4" s="8" t="s">
        <v>129</v>
      </c>
      <c r="C4" s="8" t="s">
        <v>130</v>
      </c>
      <c r="D4" s="7" t="s">
        <v>131</v>
      </c>
    </row>
    <row r="5" customFormat="false" ht="15" hidden="false" customHeight="false" outlineLevel="0" collapsed="false">
      <c r="A5" s="41" t="s">
        <v>132</v>
      </c>
      <c r="B5" s="42" t="n">
        <v>24000</v>
      </c>
      <c r="C5" s="42" t="n">
        <v>29400</v>
      </c>
      <c r="D5" s="41" t="s">
        <v>133</v>
      </c>
    </row>
    <row r="6" customFormat="false" ht="15" hidden="false" customHeight="false" outlineLevel="0" collapsed="false">
      <c r="A6" s="43" t="s">
        <v>134</v>
      </c>
      <c r="B6" s="44" t="n">
        <f aca="false">'Supuestos y proyección'!B38-B5</f>
        <v>2776.27260491607</v>
      </c>
      <c r="C6" s="44" t="n">
        <f aca="false">'Supuestos y proyección'!B38-C5</f>
        <v>-2623.72739508393</v>
      </c>
      <c r="D6" s="45" t="s">
        <v>135</v>
      </c>
    </row>
    <row r="7" customFormat="false" ht="15" hidden="false" customHeight="false" outlineLevel="0" collapsed="false">
      <c r="A7" s="46" t="s">
        <v>136</v>
      </c>
      <c r="B7" s="47" t="n">
        <f aca="false">IRR('Flujos de largo plazo'!D5:D305)</f>
        <v>0.105747427336611</v>
      </c>
      <c r="C7" s="47" t="n">
        <f aca="false">IRR('Flujos de largo plazo'!F5:F305)</f>
        <v>0.0954330787881518</v>
      </c>
      <c r="D7" s="41" t="s">
        <v>137</v>
      </c>
    </row>
    <row r="8" customFormat="false" ht="15" hidden="false" customHeight="false" outlineLevel="0" collapsed="false">
      <c r="A8" s="43" t="s">
        <v>138</v>
      </c>
      <c r="B8" s="48" t="n">
        <f aca="false">COUNTIF('Flujos de largo plazo'!E6:E305,"&lt;0")+1</f>
        <v>13</v>
      </c>
      <c r="C8" s="48" t="n">
        <f aca="false">COUNTIF('Flujos de largo plazo'!G6:G305,"&lt;0")+1</f>
        <v>15</v>
      </c>
      <c r="D8" s="45" t="s">
        <v>139</v>
      </c>
    </row>
    <row r="9" customFormat="false" ht="15" hidden="false" customHeight="false" outlineLevel="0" collapsed="false">
      <c r="A9" s="41" t="s">
        <v>140</v>
      </c>
      <c r="B9" s="49" t="str">
        <f aca="false">IF(AND(B6&gt;0,B7&gt;Costo_capital),"Crea valor","Destruye valor")</f>
        <v>Crea valor</v>
      </c>
      <c r="C9" s="49" t="str">
        <f aca="false">IF(AND(C6&gt;0,C7&gt;Costo_capital),"Crea valor","Destruye valor")</f>
        <v>Destruye valor</v>
      </c>
      <c r="D9" s="41" t="s">
        <v>141</v>
      </c>
    </row>
    <row r="11" customFormat="false" ht="15" hidden="false" customHeight="false" outlineLevel="0" collapsed="false">
      <c r="A11" s="41" t="s">
        <v>142</v>
      </c>
      <c r="B11" s="50" t="n">
        <f aca="false">'Supuestos y proyección'!B38</f>
        <v>26776.2726049161</v>
      </c>
      <c r="C11" s="51" t="n">
        <f aca="false">'Supuestos y proyección'!B39</f>
        <v>10.0285665186952</v>
      </c>
    </row>
    <row r="13" customFormat="false" ht="15" hidden="false" customHeight="false" outlineLevel="0" collapsed="false">
      <c r="A13" s="5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22" activeCellId="0" sqref="C2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2"/>
  </cols>
  <sheetData>
    <row r="1" customFormat="false" ht="15.75" hidden="false" customHeight="true" outlineLevel="0" collapsed="false">
      <c r="A1" s="20" t="s">
        <v>144</v>
      </c>
    </row>
    <row r="3" customFormat="false" ht="15" hidden="false" customHeight="true" outlineLevel="0" collapsed="false">
      <c r="A3" s="7" t="s">
        <v>145</v>
      </c>
      <c r="B3" s="8" t="s">
        <v>70</v>
      </c>
      <c r="C3" s="7" t="s">
        <v>122</v>
      </c>
      <c r="D3" s="7"/>
      <c r="E3" s="7"/>
      <c r="F3" s="7"/>
      <c r="G3" s="7"/>
    </row>
    <row r="4" customFormat="false" ht="15" hidden="false" customHeight="false" outlineLevel="0" collapsed="false">
      <c r="A4" s="41" t="s">
        <v>72</v>
      </c>
      <c r="B4" s="42" t="n">
        <v>28100</v>
      </c>
      <c r="C4" s="41" t="s">
        <v>146</v>
      </c>
      <c r="D4" s="41"/>
      <c r="E4" s="41"/>
      <c r="F4" s="41"/>
      <c r="G4" s="41"/>
    </row>
    <row r="5" customFormat="false" ht="15" hidden="false" customHeight="false" outlineLevel="0" collapsed="false">
      <c r="A5" s="45" t="s">
        <v>74</v>
      </c>
      <c r="B5" s="53" t="n">
        <v>2670</v>
      </c>
      <c r="C5" s="45" t="s">
        <v>146</v>
      </c>
      <c r="D5" s="45"/>
      <c r="E5" s="45"/>
      <c r="F5" s="45"/>
      <c r="G5" s="45"/>
    </row>
    <row r="6" customFormat="false" ht="15" hidden="false" customHeight="false" outlineLevel="0" collapsed="false">
      <c r="A6" s="41" t="s">
        <v>147</v>
      </c>
      <c r="B6" s="54" t="n">
        <v>0.07</v>
      </c>
      <c r="C6" s="41" t="s">
        <v>145</v>
      </c>
      <c r="D6" s="41"/>
      <c r="E6" s="41"/>
      <c r="F6" s="41"/>
      <c r="G6" s="41"/>
    </row>
    <row r="7" customFormat="false" ht="15" hidden="false" customHeight="false" outlineLevel="0" collapsed="false">
      <c r="A7" s="45" t="s">
        <v>148</v>
      </c>
      <c r="B7" s="55" t="n">
        <v>0.1</v>
      </c>
      <c r="C7" s="45" t="s">
        <v>149</v>
      </c>
      <c r="D7" s="45"/>
      <c r="E7" s="45"/>
      <c r="F7" s="45"/>
      <c r="G7" s="45"/>
    </row>
    <row r="8" customFormat="false" ht="15" hidden="false" customHeight="false" outlineLevel="0" collapsed="false">
      <c r="A8" s="41" t="s">
        <v>150</v>
      </c>
      <c r="B8" s="54" t="n">
        <v>0.04</v>
      </c>
      <c r="C8" s="41" t="s">
        <v>151</v>
      </c>
      <c r="D8" s="41"/>
      <c r="E8" s="41"/>
      <c r="F8" s="41"/>
      <c r="G8" s="41"/>
    </row>
    <row r="9" customFormat="false" ht="15" hidden="false" customHeight="false" outlineLevel="0" collapsed="false">
      <c r="A9" s="45" t="s">
        <v>152</v>
      </c>
      <c r="B9" s="55" t="n">
        <v>0.3</v>
      </c>
      <c r="C9" s="45" t="s">
        <v>153</v>
      </c>
      <c r="D9" s="45"/>
      <c r="E9" s="45"/>
      <c r="F9" s="45"/>
      <c r="G9" s="45"/>
    </row>
    <row r="10" customFormat="false" ht="15" hidden="false" customHeight="false" outlineLevel="0" collapsed="false">
      <c r="A10" s="41" t="s">
        <v>154</v>
      </c>
      <c r="B10" s="54" t="n">
        <v>0.7</v>
      </c>
      <c r="C10" s="41" t="s">
        <v>155</v>
      </c>
      <c r="D10" s="41"/>
      <c r="E10" s="41"/>
      <c r="F10" s="41"/>
      <c r="G10" s="41"/>
    </row>
    <row r="11" customFormat="false" ht="15" hidden="false" customHeight="false" outlineLevel="0" collapsed="false">
      <c r="A11" s="45" t="s">
        <v>94</v>
      </c>
      <c r="B11" s="56" t="n">
        <v>18</v>
      </c>
      <c r="C11" s="45" t="s">
        <v>80</v>
      </c>
      <c r="D11" s="45"/>
      <c r="E11" s="45"/>
      <c r="F11" s="45"/>
      <c r="G11" s="45"/>
    </row>
    <row r="12" customFormat="false" ht="15" hidden="false" customHeight="false" outlineLevel="0" collapsed="false">
      <c r="A12" s="41" t="s">
        <v>97</v>
      </c>
      <c r="B12" s="57" t="n">
        <v>32</v>
      </c>
      <c r="C12" s="41" t="s">
        <v>80</v>
      </c>
      <c r="D12" s="41"/>
      <c r="E12" s="41"/>
      <c r="F12" s="41"/>
      <c r="G12" s="41"/>
    </row>
    <row r="13" customFormat="false" ht="15" hidden="false" customHeight="false" outlineLevel="0" collapsed="false">
      <c r="A13" s="45" t="s">
        <v>100</v>
      </c>
      <c r="B13" s="56" t="n">
        <v>45</v>
      </c>
      <c r="C13" s="45" t="s">
        <v>80</v>
      </c>
      <c r="D13" s="45"/>
      <c r="E13" s="45"/>
      <c r="F13" s="45"/>
      <c r="G13" s="45"/>
    </row>
    <row r="14" customFormat="false" ht="15" hidden="false" customHeight="false" outlineLevel="0" collapsed="false">
      <c r="A14" s="41" t="s">
        <v>156</v>
      </c>
      <c r="B14" s="58" t="n">
        <f aca="false">(B11*B10+B12-B13*B10)/365</f>
        <v>0.0358904109589041</v>
      </c>
      <c r="C14" s="41" t="s">
        <v>157</v>
      </c>
      <c r="D14" s="41"/>
      <c r="E14" s="41"/>
      <c r="F14" s="41"/>
      <c r="G14" s="41"/>
    </row>
    <row r="17" customFormat="false" ht="15" hidden="false" customHeight="false" outlineLevel="0" collapsed="false">
      <c r="A17" s="21" t="s">
        <v>158</v>
      </c>
    </row>
    <row r="18" customFormat="false" ht="15" hidden="false" customHeight="false" outlineLevel="0" collapsed="false">
      <c r="A18" s="7" t="s">
        <v>52</v>
      </c>
      <c r="B18" s="8" t="s">
        <v>159</v>
      </c>
      <c r="C18" s="8" t="s">
        <v>160</v>
      </c>
      <c r="D18" s="8" t="s">
        <v>161</v>
      </c>
      <c r="E18" s="8" t="s">
        <v>162</v>
      </c>
      <c r="F18" s="8" t="s">
        <v>163</v>
      </c>
      <c r="G18" s="8" t="s">
        <v>164</v>
      </c>
    </row>
    <row r="19" customFormat="false" ht="15" hidden="false" customHeight="false" outlineLevel="0" collapsed="false">
      <c r="A19" s="41" t="s">
        <v>58</v>
      </c>
      <c r="B19" s="59" t="n">
        <f aca="false">B4</f>
        <v>28100</v>
      </c>
      <c r="C19" s="59" t="n">
        <f aca="false">B19*(1+$B$6)</f>
        <v>30067</v>
      </c>
      <c r="D19" s="59" t="n">
        <f aca="false">C19*(1+$B$6)</f>
        <v>32171.69</v>
      </c>
      <c r="E19" s="59" t="n">
        <f aca="false">D19*(1+$B$6)</f>
        <v>34423.7083</v>
      </c>
      <c r="F19" s="59" t="n">
        <f aca="false">E19*(1+$B$6)</f>
        <v>36833.367881</v>
      </c>
      <c r="G19" s="59" t="n">
        <f aca="false">F19*(1+$B$6)</f>
        <v>39411.70363267</v>
      </c>
    </row>
    <row r="20" customFormat="false" ht="15" hidden="false" customHeight="false" outlineLevel="0" collapsed="false">
      <c r="A20" s="45" t="s">
        <v>165</v>
      </c>
      <c r="B20" s="60" t="n">
        <f aca="false">B5</f>
        <v>2670</v>
      </c>
      <c r="C20" s="60" t="n">
        <f aca="false">B20*(1+$B$6)</f>
        <v>2856.9</v>
      </c>
      <c r="D20" s="60" t="n">
        <f aca="false">C20*(1+$B$6)</f>
        <v>3056.883</v>
      </c>
      <c r="E20" s="60" t="n">
        <f aca="false">D20*(1+$B$6)</f>
        <v>3270.86481</v>
      </c>
      <c r="F20" s="60" t="n">
        <f aca="false">E20*(1+$B$6)</f>
        <v>3499.8253467</v>
      </c>
      <c r="G20" s="60" t="n">
        <f aca="false">F20*(1+$B$6)</f>
        <v>3744.813120969</v>
      </c>
    </row>
    <row r="21" customFormat="false" ht="15" hidden="false" customHeight="false" outlineLevel="0" collapsed="false">
      <c r="A21" s="41" t="s">
        <v>166</v>
      </c>
      <c r="B21" s="59"/>
      <c r="C21" s="61" t="n">
        <v>0</v>
      </c>
      <c r="D21" s="61" t="n">
        <v>300</v>
      </c>
      <c r="E21" s="61" t="n">
        <v>600</v>
      </c>
      <c r="F21" s="61" t="n">
        <v>800</v>
      </c>
      <c r="G21" s="61" t="n">
        <v>800</v>
      </c>
    </row>
    <row r="22" customFormat="false" ht="15" hidden="false" customHeight="false" outlineLevel="0" collapsed="false">
      <c r="A22" s="45" t="s">
        <v>167</v>
      </c>
      <c r="B22" s="60"/>
      <c r="C22" s="62" t="n">
        <v>600</v>
      </c>
      <c r="D22" s="62" t="n">
        <v>400</v>
      </c>
      <c r="E22" s="62" t="n">
        <v>0</v>
      </c>
      <c r="F22" s="62" t="n">
        <v>0</v>
      </c>
      <c r="G22" s="62" t="n">
        <v>0</v>
      </c>
    </row>
    <row r="23" customFormat="false" ht="15" hidden="false" customHeight="false" outlineLevel="0" collapsed="false">
      <c r="A23" s="63" t="s">
        <v>168</v>
      </c>
      <c r="B23" s="64"/>
      <c r="C23" s="64" t="n">
        <f aca="false">C20+C21-C22</f>
        <v>2256.9</v>
      </c>
      <c r="D23" s="64" t="n">
        <f aca="false">D20+D21-D22</f>
        <v>2956.883</v>
      </c>
      <c r="E23" s="64" t="n">
        <f aca="false">E20+E21-E22</f>
        <v>3870.86481</v>
      </c>
      <c r="F23" s="64" t="n">
        <f aca="false">F20+F21-F22</f>
        <v>4299.8253467</v>
      </c>
      <c r="G23" s="64" t="n">
        <f aca="false">G20+G21-G22</f>
        <v>4544.813120969</v>
      </c>
    </row>
    <row r="24" customFormat="false" ht="15" hidden="false" customHeight="false" outlineLevel="0" collapsed="false">
      <c r="A24" s="45" t="s">
        <v>169</v>
      </c>
      <c r="B24" s="60"/>
      <c r="C24" s="62" t="n">
        <v>1000</v>
      </c>
      <c r="D24" s="62" t="n">
        <v>1000</v>
      </c>
      <c r="E24" s="62" t="n">
        <v>1000</v>
      </c>
      <c r="F24" s="62" t="n">
        <v>1150</v>
      </c>
      <c r="G24" s="62" t="n">
        <v>1150</v>
      </c>
    </row>
    <row r="25" customFormat="false" ht="15" hidden="false" customHeight="false" outlineLevel="0" collapsed="false">
      <c r="A25" s="63" t="s">
        <v>170</v>
      </c>
      <c r="B25" s="64"/>
      <c r="C25" s="64" t="n">
        <f aca="false">C23-C24</f>
        <v>1256.9</v>
      </c>
      <c r="D25" s="64" t="n">
        <f aca="false">D23-D24</f>
        <v>1956.883</v>
      </c>
      <c r="E25" s="64" t="n">
        <f aca="false">E23-E24</f>
        <v>2870.86481</v>
      </c>
      <c r="F25" s="64" t="n">
        <f aca="false">F23-F24</f>
        <v>3149.8253467</v>
      </c>
      <c r="G25" s="64" t="n">
        <f aca="false">G23-G24</f>
        <v>3394.813120969</v>
      </c>
    </row>
    <row r="26" customFormat="false" ht="15" hidden="false" customHeight="false" outlineLevel="0" collapsed="false">
      <c r="A26" s="45" t="s">
        <v>171</v>
      </c>
      <c r="B26" s="60"/>
      <c r="C26" s="60" t="n">
        <f aca="false">MAX(0,C25)*$B$9</f>
        <v>377.07</v>
      </c>
      <c r="D26" s="60" t="n">
        <f aca="false">MAX(0,D25)*$B$9</f>
        <v>587.0649</v>
      </c>
      <c r="E26" s="60" t="n">
        <f aca="false">MAX(0,E25)*$B$9</f>
        <v>861.259443</v>
      </c>
      <c r="F26" s="60" t="n">
        <f aca="false">MAX(0,F25)*$B$9</f>
        <v>944.94760401</v>
      </c>
      <c r="G26" s="60" t="n">
        <f aca="false">MAX(0,G25)*$B$9</f>
        <v>1018.4439362907</v>
      </c>
    </row>
    <row r="27" customFormat="false" ht="15" hidden="false" customHeight="false" outlineLevel="0" collapsed="false">
      <c r="A27" s="63" t="s">
        <v>172</v>
      </c>
      <c r="B27" s="64"/>
      <c r="C27" s="64" t="n">
        <f aca="false">C25-C26</f>
        <v>879.83</v>
      </c>
      <c r="D27" s="64" t="n">
        <f aca="false">D25-D26</f>
        <v>1369.8181</v>
      </c>
      <c r="E27" s="64" t="n">
        <f aca="false">E25-E26</f>
        <v>2009.605367</v>
      </c>
      <c r="F27" s="64" t="n">
        <f aca="false">F25-F26</f>
        <v>2204.87774269</v>
      </c>
      <c r="G27" s="64" t="n">
        <f aca="false">G25-G26</f>
        <v>2376.3691846783</v>
      </c>
    </row>
    <row r="28" customFormat="false" ht="15" hidden="false" customHeight="false" outlineLevel="0" collapsed="false">
      <c r="A28" s="45" t="s">
        <v>173</v>
      </c>
      <c r="B28" s="60"/>
      <c r="C28" s="60" t="n">
        <f aca="false">C24</f>
        <v>1000</v>
      </c>
      <c r="D28" s="60" t="n">
        <f aca="false">D24</f>
        <v>1000</v>
      </c>
      <c r="E28" s="60" t="n">
        <f aca="false">E24</f>
        <v>1000</v>
      </c>
      <c r="F28" s="60" t="n">
        <f aca="false">F24</f>
        <v>1150</v>
      </c>
      <c r="G28" s="60" t="n">
        <f aca="false">G24</f>
        <v>1150</v>
      </c>
    </row>
    <row r="29" customFormat="false" ht="15" hidden="false" customHeight="false" outlineLevel="0" collapsed="false">
      <c r="A29" s="41" t="s">
        <v>174</v>
      </c>
      <c r="B29" s="59"/>
      <c r="C29" s="61" t="n">
        <v>2500</v>
      </c>
      <c r="D29" s="61" t="n">
        <v>2500</v>
      </c>
      <c r="E29" s="61" t="n">
        <v>2500</v>
      </c>
      <c r="F29" s="61" t="n">
        <v>1200</v>
      </c>
      <c r="G29" s="61" t="n">
        <v>1200</v>
      </c>
    </row>
    <row r="30" customFormat="false" ht="15" hidden="false" customHeight="false" outlineLevel="0" collapsed="false">
      <c r="A30" s="45" t="s">
        <v>175</v>
      </c>
      <c r="B30" s="60" t="n">
        <f aca="false">B19*$B$14</f>
        <v>1008.52054794521</v>
      </c>
      <c r="C30" s="60" t="n">
        <f aca="false">C19*$B$14</f>
        <v>1079.11698630137</v>
      </c>
      <c r="D30" s="60" t="n">
        <f aca="false">D19*$B$14</f>
        <v>1154.65517534247</v>
      </c>
      <c r="E30" s="60" t="n">
        <f aca="false">E19*$B$14</f>
        <v>1235.48103761644</v>
      </c>
      <c r="F30" s="60" t="n">
        <f aca="false">F19*$B$14</f>
        <v>1321.96471024959</v>
      </c>
      <c r="G30" s="60" t="n">
        <f aca="false">G19*$B$14</f>
        <v>1414.50223996706</v>
      </c>
    </row>
    <row r="31" customFormat="false" ht="15" hidden="false" customHeight="false" outlineLevel="0" collapsed="false">
      <c r="A31" s="41" t="s">
        <v>176</v>
      </c>
      <c r="B31" s="59"/>
      <c r="C31" s="59" t="n">
        <f aca="false">C30-B30</f>
        <v>70.5964383561644</v>
      </c>
      <c r="D31" s="59" t="n">
        <f aca="false">D30-C30</f>
        <v>75.5381890410961</v>
      </c>
      <c r="E31" s="59" t="n">
        <f aca="false">E30-D30</f>
        <v>80.8258622739727</v>
      </c>
      <c r="F31" s="59" t="n">
        <f aca="false">F30-E30</f>
        <v>86.4836726331507</v>
      </c>
      <c r="G31" s="59" t="n">
        <f aca="false">G30-F30</f>
        <v>92.5375297174714</v>
      </c>
    </row>
    <row r="32" customFormat="false" ht="15" hidden="false" customHeight="false" outlineLevel="0" collapsed="false">
      <c r="A32" s="65" t="s">
        <v>177</v>
      </c>
      <c r="B32" s="66"/>
      <c r="C32" s="66" t="n">
        <f aca="false">C27+C28-C29-C31</f>
        <v>-690.766438356164</v>
      </c>
      <c r="D32" s="66" t="n">
        <f aca="false">D27+D28-D29-D31</f>
        <v>-205.720089041096</v>
      </c>
      <c r="E32" s="66" t="n">
        <f aca="false">E27+E28-E29-E31</f>
        <v>428.779504726027</v>
      </c>
      <c r="F32" s="66" t="n">
        <f aca="false">F27+F28-F29-F31</f>
        <v>2068.39407005685</v>
      </c>
      <c r="G32" s="66" t="n">
        <f aca="false">G27+G28-G29-G31</f>
        <v>2233.83165496083</v>
      </c>
    </row>
    <row r="34" customFormat="false" ht="15" hidden="false" customHeight="false" outlineLevel="0" collapsed="false">
      <c r="A34" s="41" t="s">
        <v>178</v>
      </c>
      <c r="G34" s="59" t="n">
        <f aca="false">(G27+G28-G29)*(1+B8)-G30*B8</f>
        <v>2362.84386246675</v>
      </c>
    </row>
    <row r="35" customFormat="false" ht="15" hidden="false" customHeight="false" outlineLevel="0" collapsed="false">
      <c r="A35" s="46" t="s">
        <v>179</v>
      </c>
      <c r="G35" s="67" t="n">
        <f aca="false">G34/(B7-B8)</f>
        <v>39380.7310411125</v>
      </c>
    </row>
    <row r="36" customFormat="false" ht="15" hidden="false" customHeight="false" outlineLevel="0" collapsed="false">
      <c r="A36" s="41" t="s">
        <v>180</v>
      </c>
      <c r="C36" s="68" t="n">
        <f aca="false">1/(1+$B$7)^1</f>
        <v>0.909090909090909</v>
      </c>
      <c r="D36" s="68" t="n">
        <f aca="false">1/(1+$B$7)^2</f>
        <v>0.826446280991735</v>
      </c>
      <c r="E36" s="68" t="n">
        <f aca="false">1/(1+$B$7)^3</f>
        <v>0.751314800901578</v>
      </c>
      <c r="F36" s="68" t="n">
        <f aca="false">1/(1+$B$7)^4</f>
        <v>0.683013455365071</v>
      </c>
      <c r="G36" s="68" t="n">
        <f aca="false">1/(1+$B$7)^5</f>
        <v>0.620921323059155</v>
      </c>
    </row>
    <row r="37" customFormat="false" ht="15" hidden="false" customHeight="false" outlineLevel="0" collapsed="false">
      <c r="A37" s="41" t="s">
        <v>181</v>
      </c>
      <c r="C37" s="59" t="n">
        <f aca="false">(C32)*C36</f>
        <v>-627.969489414695</v>
      </c>
      <c r="D37" s="59" t="n">
        <f aca="false">(D32)*D36</f>
        <v>-170.016602513302</v>
      </c>
      <c r="E37" s="59" t="n">
        <f aca="false">(E32)*E36</f>
        <v>322.148388223912</v>
      </c>
      <c r="F37" s="59" t="n">
        <f aca="false">(F32)*F36</f>
        <v>1412.74098084615</v>
      </c>
      <c r="G37" s="59" t="n">
        <f aca="false">(G32+G35)*G36</f>
        <v>25839.369327774</v>
      </c>
    </row>
    <row r="38" customFormat="false" ht="15" hidden="false" customHeight="false" outlineLevel="0" collapsed="false">
      <c r="A38" s="46" t="s">
        <v>182</v>
      </c>
      <c r="B38" s="67" t="n">
        <f aca="false">SUM(C37:G37)</f>
        <v>26776.2726049161</v>
      </c>
    </row>
    <row r="39" customFormat="false" ht="15" hidden="false" customHeight="false" outlineLevel="0" collapsed="false">
      <c r="A39" s="41" t="s">
        <v>183</v>
      </c>
      <c r="B39" s="69" t="n">
        <f aca="false">B38/B5</f>
        <v>10.0285665186952</v>
      </c>
    </row>
    <row r="41" customFormat="false" ht="15" hidden="false" customHeight="false" outlineLevel="0" collapsed="false">
      <c r="A41" s="40" t="s">
        <v>184</v>
      </c>
    </row>
  </sheetData>
  <mergeCells count="12"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70" t="s">
        <v>186</v>
      </c>
    </row>
    <row r="4" customFormat="false" ht="23.85" hidden="false" customHeight="false" outlineLevel="0" collapsed="false">
      <c r="A4" s="2" t="s">
        <v>120</v>
      </c>
      <c r="B4" s="71" t="s">
        <v>187</v>
      </c>
      <c r="C4" s="71" t="s">
        <v>121</v>
      </c>
      <c r="D4" s="71" t="s">
        <v>188</v>
      </c>
      <c r="E4" s="71" t="s">
        <v>189</v>
      </c>
      <c r="F4" s="71" t="s">
        <v>190</v>
      </c>
      <c r="G4" s="71" t="s">
        <v>191</v>
      </c>
    </row>
    <row r="5" customFormat="false" ht="15" hidden="false" customHeight="false" outlineLevel="0" collapsed="false">
      <c r="A5" s="72" t="n">
        <v>0</v>
      </c>
      <c r="B5" s="72" t="n">
        <v>2025</v>
      </c>
      <c r="C5" s="3"/>
      <c r="D5" s="73" t="n">
        <f aca="false">-'Tabla 5'!B5</f>
        <v>-24000</v>
      </c>
      <c r="E5" s="73" t="n">
        <f aca="false">D5</f>
        <v>-24000</v>
      </c>
      <c r="F5" s="73" t="n">
        <f aca="false">-'Tabla 5'!C5</f>
        <v>-29400</v>
      </c>
      <c r="G5" s="73" t="n">
        <f aca="false">F5</f>
        <v>-29400</v>
      </c>
    </row>
    <row r="6" customFormat="false" ht="15" hidden="false" customHeight="false" outlineLevel="0" collapsed="false">
      <c r="A6" s="72" t="n">
        <v>1</v>
      </c>
      <c r="B6" s="72" t="n">
        <f aca="false">B5+1</f>
        <v>2026</v>
      </c>
      <c r="C6" s="73" t="n">
        <f aca="false">'Supuestos y proyección'!C32</f>
        <v>-690.766438356164</v>
      </c>
      <c r="D6" s="73" t="n">
        <f aca="false">C6</f>
        <v>-690.766438356164</v>
      </c>
      <c r="E6" s="73" t="n">
        <f aca="false">E5+D6</f>
        <v>-24690.7664383562</v>
      </c>
      <c r="F6" s="73" t="n">
        <f aca="false">C6</f>
        <v>-690.766438356164</v>
      </c>
      <c r="G6" s="73" t="n">
        <f aca="false">G5+F6</f>
        <v>-30090.7664383562</v>
      </c>
    </row>
    <row r="7" customFormat="false" ht="15" hidden="false" customHeight="false" outlineLevel="0" collapsed="false">
      <c r="A7" s="72" t="n">
        <v>2</v>
      </c>
      <c r="B7" s="72" t="n">
        <f aca="false">B6+1</f>
        <v>2027</v>
      </c>
      <c r="C7" s="73" t="n">
        <f aca="false">'Supuestos y proyección'!D32</f>
        <v>-205.720089041096</v>
      </c>
      <c r="D7" s="73" t="n">
        <f aca="false">C7</f>
        <v>-205.720089041096</v>
      </c>
      <c r="E7" s="73" t="n">
        <f aca="false">E6+D7</f>
        <v>-24896.4865273973</v>
      </c>
      <c r="F7" s="73" t="n">
        <f aca="false">C7</f>
        <v>-205.720089041096</v>
      </c>
      <c r="G7" s="73" t="n">
        <f aca="false">G6+F7</f>
        <v>-30296.4865273973</v>
      </c>
    </row>
    <row r="8" customFormat="false" ht="15" hidden="false" customHeight="false" outlineLevel="0" collapsed="false">
      <c r="A8" s="72" t="n">
        <v>3</v>
      </c>
      <c r="B8" s="72" t="n">
        <f aca="false">B7+1</f>
        <v>2028</v>
      </c>
      <c r="C8" s="73" t="n">
        <f aca="false">'Supuestos y proyección'!E32</f>
        <v>428.779504726027</v>
      </c>
      <c r="D8" s="73" t="n">
        <f aca="false">C8</f>
        <v>428.779504726027</v>
      </c>
      <c r="E8" s="73" t="n">
        <f aca="false">E7+D8</f>
        <v>-24467.7070226712</v>
      </c>
      <c r="F8" s="73" t="n">
        <f aca="false">C8</f>
        <v>428.779504726027</v>
      </c>
      <c r="G8" s="73" t="n">
        <f aca="false">G7+F8</f>
        <v>-29867.7070226712</v>
      </c>
    </row>
    <row r="9" customFormat="false" ht="15" hidden="false" customHeight="false" outlineLevel="0" collapsed="false">
      <c r="A9" s="72" t="n">
        <v>4</v>
      </c>
      <c r="B9" s="72" t="n">
        <f aca="false">B8+1</f>
        <v>2029</v>
      </c>
      <c r="C9" s="73" t="n">
        <f aca="false">'Supuestos y proyección'!F32</f>
        <v>2068.39407005685</v>
      </c>
      <c r="D9" s="73" t="n">
        <f aca="false">C9</f>
        <v>2068.39407005685</v>
      </c>
      <c r="E9" s="73" t="n">
        <f aca="false">E8+D9</f>
        <v>-22399.3129526144</v>
      </c>
      <c r="F9" s="73" t="n">
        <f aca="false">C9</f>
        <v>2068.39407005685</v>
      </c>
      <c r="G9" s="73" t="n">
        <f aca="false">G8+F9</f>
        <v>-27799.3129526144</v>
      </c>
    </row>
    <row r="10" customFormat="false" ht="15" hidden="false" customHeight="false" outlineLevel="0" collapsed="false">
      <c r="A10" s="72" t="n">
        <v>5</v>
      </c>
      <c r="B10" s="72" t="n">
        <f aca="false">B9+1</f>
        <v>2030</v>
      </c>
      <c r="C10" s="73" t="n">
        <f aca="false">'Supuestos y proyección'!G32</f>
        <v>2233.83165496083</v>
      </c>
      <c r="D10" s="73" t="n">
        <f aca="false">C10</f>
        <v>2233.83165496083</v>
      </c>
      <c r="E10" s="73" t="n">
        <f aca="false">E9+D10</f>
        <v>-20165.4812976536</v>
      </c>
      <c r="F10" s="73" t="n">
        <f aca="false">C10</f>
        <v>2233.83165496083</v>
      </c>
      <c r="G10" s="73" t="n">
        <f aca="false">G9+F10</f>
        <v>-25565.4812976536</v>
      </c>
    </row>
    <row r="11" customFormat="false" ht="15" hidden="false" customHeight="false" outlineLevel="0" collapsed="false">
      <c r="A11" s="72" t="n">
        <v>6</v>
      </c>
      <c r="B11" s="72" t="n">
        <f aca="false">B10+1</f>
        <v>2031</v>
      </c>
      <c r="C11" s="73" t="n">
        <f aca="false">'Supuestos y proyección'!G34</f>
        <v>2362.84386246675</v>
      </c>
      <c r="D11" s="73" t="n">
        <f aca="false">C11</f>
        <v>2362.84386246675</v>
      </c>
      <c r="E11" s="73" t="n">
        <f aca="false">E10+D11</f>
        <v>-17802.6374351868</v>
      </c>
      <c r="F11" s="73" t="n">
        <f aca="false">C11</f>
        <v>2362.84386246675</v>
      </c>
      <c r="G11" s="73" t="n">
        <f aca="false">G10+F11</f>
        <v>-23202.6374351868</v>
      </c>
    </row>
    <row r="12" customFormat="false" ht="15" hidden="false" customHeight="false" outlineLevel="0" collapsed="false">
      <c r="A12" s="72" t="n">
        <v>7</v>
      </c>
      <c r="B12" s="72" t="n">
        <f aca="false">B11+1</f>
        <v>2032</v>
      </c>
      <c r="C12" s="73" t="n">
        <f aca="false">C11*(1+'Supuestos y proyección'!$B$8)</f>
        <v>2457.35761696542</v>
      </c>
      <c r="D12" s="73" t="n">
        <f aca="false">C12</f>
        <v>2457.35761696542</v>
      </c>
      <c r="E12" s="73" t="n">
        <f aca="false">E11+D12</f>
        <v>-15345.2798182214</v>
      </c>
      <c r="F12" s="73" t="n">
        <f aca="false">C12</f>
        <v>2457.35761696542</v>
      </c>
      <c r="G12" s="73" t="n">
        <f aca="false">G11+F12</f>
        <v>-20745.2798182214</v>
      </c>
    </row>
    <row r="13" customFormat="false" ht="15" hidden="false" customHeight="false" outlineLevel="0" collapsed="false">
      <c r="A13" s="72" t="n">
        <v>8</v>
      </c>
      <c r="B13" s="72" t="n">
        <f aca="false">B12+1</f>
        <v>2033</v>
      </c>
      <c r="C13" s="73" t="n">
        <f aca="false">C12*(1+'Supuestos y proyección'!$B$8)</f>
        <v>2555.65192164404</v>
      </c>
      <c r="D13" s="73" t="n">
        <f aca="false">C13</f>
        <v>2555.65192164404</v>
      </c>
      <c r="E13" s="73" t="n">
        <f aca="false">E12+D13</f>
        <v>-12789.6278965773</v>
      </c>
      <c r="F13" s="73" t="n">
        <f aca="false">C13</f>
        <v>2555.65192164404</v>
      </c>
      <c r="G13" s="73" t="n">
        <f aca="false">G12+F13</f>
        <v>-18189.6278965774</v>
      </c>
    </row>
    <row r="14" customFormat="false" ht="15" hidden="false" customHeight="false" outlineLevel="0" collapsed="false">
      <c r="A14" s="72" t="n">
        <v>9</v>
      </c>
      <c r="B14" s="72" t="n">
        <f aca="false">B13+1</f>
        <v>2034</v>
      </c>
      <c r="C14" s="73" t="n">
        <f aca="false">C13*(1+'Supuestos y proyección'!$B$8)</f>
        <v>2657.8779985098</v>
      </c>
      <c r="D14" s="73" t="n">
        <f aca="false">C14</f>
        <v>2657.8779985098</v>
      </c>
      <c r="E14" s="73" t="n">
        <f aca="false">E13+D14</f>
        <v>-10131.7498980676</v>
      </c>
      <c r="F14" s="73" t="n">
        <f aca="false">C14</f>
        <v>2657.8779985098</v>
      </c>
      <c r="G14" s="73" t="n">
        <f aca="false">G13+F14</f>
        <v>-15531.7498980676</v>
      </c>
    </row>
    <row r="15" customFormat="false" ht="15" hidden="false" customHeight="false" outlineLevel="0" collapsed="false">
      <c r="A15" s="72" t="n">
        <v>10</v>
      </c>
      <c r="B15" s="72" t="n">
        <f aca="false">B14+1</f>
        <v>2035</v>
      </c>
      <c r="C15" s="73" t="n">
        <f aca="false">C14*(1+'Supuestos y proyección'!$B$8)</f>
        <v>2764.19311845019</v>
      </c>
      <c r="D15" s="73" t="n">
        <f aca="false">C15</f>
        <v>2764.19311845019</v>
      </c>
      <c r="E15" s="73" t="n">
        <f aca="false">E14+D15</f>
        <v>-7367.55677961736</v>
      </c>
      <c r="F15" s="73" t="n">
        <f aca="false">C15</f>
        <v>2764.19311845019</v>
      </c>
      <c r="G15" s="73" t="n">
        <f aca="false">G14+F15</f>
        <v>-12767.5567796174</v>
      </c>
    </row>
    <row r="16" customFormat="false" ht="15" hidden="false" customHeight="false" outlineLevel="0" collapsed="false">
      <c r="A16" s="72" t="n">
        <v>11</v>
      </c>
      <c r="B16" s="72" t="n">
        <f aca="false">B15+1</f>
        <v>2036</v>
      </c>
      <c r="C16" s="73" t="n">
        <f aca="false">C15*(1+'Supuestos y proyección'!$B$8)</f>
        <v>2874.7608431882</v>
      </c>
      <c r="D16" s="73" t="n">
        <f aca="false">C16</f>
        <v>2874.7608431882</v>
      </c>
      <c r="E16" s="73" t="n">
        <f aca="false">E15+D16</f>
        <v>-4492.79593642916</v>
      </c>
      <c r="F16" s="73" t="n">
        <f aca="false">C16</f>
        <v>2874.7608431882</v>
      </c>
      <c r="G16" s="73" t="n">
        <f aca="false">G15+F16</f>
        <v>-9892.79593642917</v>
      </c>
    </row>
    <row r="17" customFormat="false" ht="15" hidden="false" customHeight="false" outlineLevel="0" collapsed="false">
      <c r="A17" s="72" t="n">
        <v>12</v>
      </c>
      <c r="B17" s="72" t="n">
        <f aca="false">B16+1</f>
        <v>2037</v>
      </c>
      <c r="C17" s="73" t="n">
        <f aca="false">C16*(1+'Supuestos y proyección'!$B$8)</f>
        <v>2989.75127691573</v>
      </c>
      <c r="D17" s="73" t="n">
        <f aca="false">C17</f>
        <v>2989.75127691573</v>
      </c>
      <c r="E17" s="73" t="n">
        <f aca="false">E16+D17</f>
        <v>-1503.04465951344</v>
      </c>
      <c r="F17" s="73" t="n">
        <f aca="false">C17</f>
        <v>2989.75127691573</v>
      </c>
      <c r="G17" s="73" t="n">
        <f aca="false">G16+F17</f>
        <v>-6903.04465951344</v>
      </c>
    </row>
    <row r="18" customFormat="false" ht="15" hidden="false" customHeight="false" outlineLevel="0" collapsed="false">
      <c r="A18" s="72" t="n">
        <v>13</v>
      </c>
      <c r="B18" s="72" t="n">
        <f aca="false">B17+1</f>
        <v>2038</v>
      </c>
      <c r="C18" s="73" t="n">
        <f aca="false">C17*(1+'Supuestos y proyección'!$B$8)</f>
        <v>3109.34132799236</v>
      </c>
      <c r="D18" s="73" t="n">
        <f aca="false">C18</f>
        <v>3109.34132799236</v>
      </c>
      <c r="E18" s="73" t="n">
        <f aca="false">E17+D18</f>
        <v>1606.29666847892</v>
      </c>
      <c r="F18" s="73" t="n">
        <f aca="false">C18</f>
        <v>3109.34132799236</v>
      </c>
      <c r="G18" s="73" t="n">
        <f aca="false">G17+F18</f>
        <v>-3793.70333152108</v>
      </c>
    </row>
    <row r="19" customFormat="false" ht="15" hidden="false" customHeight="false" outlineLevel="0" collapsed="false">
      <c r="A19" s="72" t="n">
        <v>14</v>
      </c>
      <c r="B19" s="72" t="n">
        <f aca="false">B18+1</f>
        <v>2039</v>
      </c>
      <c r="C19" s="73" t="n">
        <f aca="false">C18*(1+'Supuestos y proyección'!$B$8)</f>
        <v>3233.71498111205</v>
      </c>
      <c r="D19" s="73" t="n">
        <f aca="false">C19</f>
        <v>3233.71498111205</v>
      </c>
      <c r="E19" s="73" t="n">
        <f aca="false">E18+D19</f>
        <v>4840.01164959097</v>
      </c>
      <c r="F19" s="73" t="n">
        <f aca="false">C19</f>
        <v>3233.71498111205</v>
      </c>
      <c r="G19" s="73" t="n">
        <f aca="false">G18+F19</f>
        <v>-559.988350409035</v>
      </c>
    </row>
    <row r="20" customFormat="false" ht="15" hidden="false" customHeight="false" outlineLevel="0" collapsed="false">
      <c r="A20" s="72" t="n">
        <v>15</v>
      </c>
      <c r="B20" s="72" t="n">
        <f aca="false">B19+1</f>
        <v>2040</v>
      </c>
      <c r="C20" s="73" t="n">
        <f aca="false">C19*(1+'Supuestos y proyección'!$B$8)</f>
        <v>3363.06358035653</v>
      </c>
      <c r="D20" s="73" t="n">
        <f aca="false">C20</f>
        <v>3363.06358035653</v>
      </c>
      <c r="E20" s="73" t="n">
        <f aca="false">E19+D20</f>
        <v>8203.0752299475</v>
      </c>
      <c r="F20" s="73" t="n">
        <f aca="false">C20</f>
        <v>3363.06358035653</v>
      </c>
      <c r="G20" s="73" t="n">
        <f aca="false">G19+F20</f>
        <v>2803.0752299475</v>
      </c>
    </row>
    <row r="21" customFormat="false" ht="15" hidden="false" customHeight="false" outlineLevel="0" collapsed="false">
      <c r="A21" s="72" t="n">
        <v>16</v>
      </c>
      <c r="B21" s="72" t="n">
        <f aca="false">B20+1</f>
        <v>2041</v>
      </c>
      <c r="C21" s="73" t="n">
        <f aca="false">C20*(1+'Supuestos y proyección'!$B$8)</f>
        <v>3497.58612357079</v>
      </c>
      <c r="D21" s="73" t="n">
        <f aca="false">C21</f>
        <v>3497.58612357079</v>
      </c>
      <c r="E21" s="73" t="n">
        <f aca="false">E20+D21</f>
        <v>11700.6613535183</v>
      </c>
      <c r="F21" s="73" t="n">
        <f aca="false">C21</f>
        <v>3497.58612357079</v>
      </c>
      <c r="G21" s="73" t="n">
        <f aca="false">G20+F21</f>
        <v>6300.66135351829</v>
      </c>
    </row>
    <row r="22" customFormat="false" ht="15" hidden="false" customHeight="false" outlineLevel="0" collapsed="false">
      <c r="A22" s="72" t="n">
        <v>17</v>
      </c>
      <c r="B22" s="72" t="n">
        <f aca="false">B21+1</f>
        <v>2042</v>
      </c>
      <c r="C22" s="73" t="n">
        <f aca="false">C21*(1+'Supuestos y proyección'!$B$8)</f>
        <v>3637.48956851363</v>
      </c>
      <c r="D22" s="73" t="n">
        <f aca="false">C22</f>
        <v>3637.48956851363</v>
      </c>
      <c r="E22" s="73" t="n">
        <f aca="false">E21+D22</f>
        <v>15338.1509220319</v>
      </c>
      <c r="F22" s="73" t="n">
        <f aca="false">C22</f>
        <v>3637.48956851363</v>
      </c>
      <c r="G22" s="73" t="n">
        <f aca="false">G21+F22</f>
        <v>9938.15092203192</v>
      </c>
    </row>
    <row r="23" customFormat="false" ht="15" hidden="false" customHeight="false" outlineLevel="0" collapsed="false">
      <c r="A23" s="72" t="n">
        <v>18</v>
      </c>
      <c r="B23" s="72" t="n">
        <f aca="false">B22+1</f>
        <v>2043</v>
      </c>
      <c r="C23" s="73" t="n">
        <f aca="false">C22*(1+'Supuestos y proyección'!$B$8)</f>
        <v>3782.98915125417</v>
      </c>
      <c r="D23" s="73" t="n">
        <f aca="false">C23</f>
        <v>3782.98915125417</v>
      </c>
      <c r="E23" s="73" t="n">
        <f aca="false">E22+D23</f>
        <v>19121.1400732861</v>
      </c>
      <c r="F23" s="73" t="n">
        <f aca="false">C23</f>
        <v>3782.98915125417</v>
      </c>
      <c r="G23" s="73" t="n">
        <f aca="false">G22+F23</f>
        <v>13721.1400732861</v>
      </c>
    </row>
    <row r="24" customFormat="false" ht="15" hidden="false" customHeight="false" outlineLevel="0" collapsed="false">
      <c r="A24" s="72" t="n">
        <v>19</v>
      </c>
      <c r="B24" s="72" t="n">
        <f aca="false">B23+1</f>
        <v>2044</v>
      </c>
      <c r="C24" s="73" t="n">
        <f aca="false">C23*(1+'Supuestos y proyección'!$B$8)</f>
        <v>3934.30871730434</v>
      </c>
      <c r="D24" s="73" t="n">
        <f aca="false">C24</f>
        <v>3934.30871730434</v>
      </c>
      <c r="E24" s="73" t="n">
        <f aca="false">E23+D24</f>
        <v>23055.4487905904</v>
      </c>
      <c r="F24" s="73" t="n">
        <f aca="false">C24</f>
        <v>3934.30871730434</v>
      </c>
      <c r="G24" s="73" t="n">
        <f aca="false">G23+F24</f>
        <v>17655.4487905904</v>
      </c>
    </row>
    <row r="25" customFormat="false" ht="15" hidden="false" customHeight="false" outlineLevel="0" collapsed="false">
      <c r="A25" s="72" t="n">
        <v>20</v>
      </c>
      <c r="B25" s="72" t="n">
        <f aca="false">B24+1</f>
        <v>2045</v>
      </c>
      <c r="C25" s="73" t="n">
        <f aca="false">C24*(1+'Supuestos y proyección'!$B$8)</f>
        <v>4091.68106599651</v>
      </c>
      <c r="D25" s="73" t="n">
        <f aca="false">C25</f>
        <v>4091.68106599651</v>
      </c>
      <c r="E25" s="73" t="n">
        <f aca="false">E24+D25</f>
        <v>27147.1298565869</v>
      </c>
      <c r="F25" s="73" t="n">
        <f aca="false">C25</f>
        <v>4091.68106599651</v>
      </c>
      <c r="G25" s="73" t="n">
        <f aca="false">G24+F25</f>
        <v>21747.1298565869</v>
      </c>
    </row>
    <row r="26" customFormat="false" ht="15" hidden="false" customHeight="false" outlineLevel="0" collapsed="false">
      <c r="A26" s="72" t="n">
        <v>21</v>
      </c>
      <c r="B26" s="72" t="n">
        <f aca="false">B25+1</f>
        <v>2046</v>
      </c>
      <c r="C26" s="73" t="n">
        <f aca="false">C25*(1+'Supuestos y proyección'!$B$8)</f>
        <v>4255.34830863637</v>
      </c>
      <c r="D26" s="73" t="n">
        <f aca="false">C26</f>
        <v>4255.34830863637</v>
      </c>
      <c r="E26" s="73" t="n">
        <f aca="false">E25+D26</f>
        <v>31402.4781652233</v>
      </c>
      <c r="F26" s="73" t="n">
        <f aca="false">C26</f>
        <v>4255.34830863637</v>
      </c>
      <c r="G26" s="73" t="n">
        <f aca="false">G25+F26</f>
        <v>26002.4781652233</v>
      </c>
    </row>
    <row r="27" customFormat="false" ht="15" hidden="false" customHeight="false" outlineLevel="0" collapsed="false">
      <c r="A27" s="72" t="n">
        <v>22</v>
      </c>
      <c r="B27" s="72" t="n">
        <f aca="false">B26+1</f>
        <v>2047</v>
      </c>
      <c r="C27" s="73" t="n">
        <f aca="false">C26*(1+'Supuestos y proyección'!$B$8)</f>
        <v>4425.56224098183</v>
      </c>
      <c r="D27" s="73" t="n">
        <f aca="false">C27</f>
        <v>4425.56224098183</v>
      </c>
      <c r="E27" s="73" t="n">
        <f aca="false">E26+D27</f>
        <v>35828.0404062051</v>
      </c>
      <c r="F27" s="73" t="n">
        <f aca="false">C27</f>
        <v>4425.56224098183</v>
      </c>
      <c r="G27" s="73" t="n">
        <f aca="false">G26+F27</f>
        <v>30428.0404062051</v>
      </c>
    </row>
    <row r="28" customFormat="false" ht="15" hidden="false" customHeight="false" outlineLevel="0" collapsed="false">
      <c r="A28" s="72" t="n">
        <v>23</v>
      </c>
      <c r="B28" s="72" t="n">
        <f aca="false">B27+1</f>
        <v>2048</v>
      </c>
      <c r="C28" s="73" t="n">
        <f aca="false">C27*(1+'Supuestos y proyección'!$B$8)</f>
        <v>4602.5847306211</v>
      </c>
      <c r="D28" s="73" t="n">
        <f aca="false">C28</f>
        <v>4602.5847306211</v>
      </c>
      <c r="E28" s="73" t="n">
        <f aca="false">E27+D28</f>
        <v>40430.6251368262</v>
      </c>
      <c r="F28" s="73" t="n">
        <f aca="false">C28</f>
        <v>4602.5847306211</v>
      </c>
      <c r="G28" s="73" t="n">
        <f aca="false">G27+F28</f>
        <v>35030.6251368262</v>
      </c>
    </row>
    <row r="29" customFormat="false" ht="15" hidden="false" customHeight="false" outlineLevel="0" collapsed="false">
      <c r="A29" s="72" t="n">
        <v>24</v>
      </c>
      <c r="B29" s="72" t="n">
        <f aca="false">B28+1</f>
        <v>2049</v>
      </c>
      <c r="C29" s="73" t="n">
        <f aca="false">C28*(1+'Supuestos y proyección'!$B$8)</f>
        <v>4786.68811984594</v>
      </c>
      <c r="D29" s="73" t="n">
        <f aca="false">C29</f>
        <v>4786.68811984594</v>
      </c>
      <c r="E29" s="73" t="n">
        <f aca="false">E28+D29</f>
        <v>45217.3132566722</v>
      </c>
      <c r="F29" s="73" t="n">
        <f aca="false">C29</f>
        <v>4786.68811984594</v>
      </c>
      <c r="G29" s="73" t="n">
        <f aca="false">G28+F29</f>
        <v>39817.3132566722</v>
      </c>
    </row>
    <row r="30" customFormat="false" ht="15" hidden="false" customHeight="false" outlineLevel="0" collapsed="false">
      <c r="A30" s="72" t="n">
        <v>25</v>
      </c>
      <c r="B30" s="72" t="n">
        <f aca="false">B29+1</f>
        <v>2050</v>
      </c>
      <c r="C30" s="73" t="n">
        <f aca="false">C29*(1+'Supuestos y proyección'!$B$8)</f>
        <v>4978.15564463978</v>
      </c>
      <c r="D30" s="73" t="n">
        <f aca="false">C30</f>
        <v>4978.15564463978</v>
      </c>
      <c r="E30" s="73" t="n">
        <f aca="false">E29+D30</f>
        <v>50195.468901312</v>
      </c>
      <c r="F30" s="73" t="n">
        <f aca="false">C30</f>
        <v>4978.15564463978</v>
      </c>
      <c r="G30" s="73" t="n">
        <f aca="false">G29+F30</f>
        <v>44795.468901312</v>
      </c>
    </row>
    <row r="31" customFormat="false" ht="15" hidden="false" customHeight="false" outlineLevel="0" collapsed="false">
      <c r="A31" s="72" t="n">
        <v>26</v>
      </c>
      <c r="B31" s="72" t="n">
        <f aca="false">B30+1</f>
        <v>2051</v>
      </c>
      <c r="C31" s="73" t="n">
        <f aca="false">C30*(1+'Supuestos y proyección'!$B$8)</f>
        <v>5177.28187042537</v>
      </c>
      <c r="D31" s="73" t="n">
        <f aca="false">C31</f>
        <v>5177.28187042537</v>
      </c>
      <c r="E31" s="73" t="n">
        <f aca="false">E30+D31</f>
        <v>55372.7507717373</v>
      </c>
      <c r="F31" s="73" t="n">
        <f aca="false">C31</f>
        <v>5177.28187042537</v>
      </c>
      <c r="G31" s="73" t="n">
        <f aca="false">G30+F31</f>
        <v>49972.7507717373</v>
      </c>
    </row>
    <row r="32" customFormat="false" ht="15" hidden="false" customHeight="false" outlineLevel="0" collapsed="false">
      <c r="A32" s="72" t="n">
        <v>27</v>
      </c>
      <c r="B32" s="72" t="n">
        <f aca="false">B31+1</f>
        <v>2052</v>
      </c>
      <c r="C32" s="73" t="n">
        <f aca="false">C31*(1+'Supuestos y proyección'!$B$8)</f>
        <v>5384.37314524239</v>
      </c>
      <c r="D32" s="73" t="n">
        <f aca="false">C32</f>
        <v>5384.37314524239</v>
      </c>
      <c r="E32" s="73" t="n">
        <f aca="false">E31+D32</f>
        <v>60757.1239169797</v>
      </c>
      <c r="F32" s="73" t="n">
        <f aca="false">C32</f>
        <v>5384.37314524239</v>
      </c>
      <c r="G32" s="73" t="n">
        <f aca="false">G31+F32</f>
        <v>55357.1239169797</v>
      </c>
    </row>
    <row r="33" customFormat="false" ht="15" hidden="false" customHeight="false" outlineLevel="0" collapsed="false">
      <c r="A33" s="72" t="n">
        <v>28</v>
      </c>
      <c r="B33" s="72" t="n">
        <f aca="false">B32+1</f>
        <v>2053</v>
      </c>
      <c r="C33" s="73" t="n">
        <f aca="false">C32*(1+'Supuestos y proyección'!$B$8)</f>
        <v>5599.74807105208</v>
      </c>
      <c r="D33" s="73" t="n">
        <f aca="false">C33</f>
        <v>5599.74807105208</v>
      </c>
      <c r="E33" s="73" t="n">
        <f aca="false">E32+D33</f>
        <v>66356.8719880318</v>
      </c>
      <c r="F33" s="73" t="n">
        <f aca="false">C33</f>
        <v>5599.74807105208</v>
      </c>
      <c r="G33" s="73" t="n">
        <f aca="false">G32+F33</f>
        <v>60956.8719880318</v>
      </c>
    </row>
    <row r="34" customFormat="false" ht="15" hidden="false" customHeight="false" outlineLevel="0" collapsed="false">
      <c r="A34" s="72" t="n">
        <v>29</v>
      </c>
      <c r="B34" s="72" t="n">
        <f aca="false">B33+1</f>
        <v>2054</v>
      </c>
      <c r="C34" s="73" t="n">
        <f aca="false">C33*(1+'Supuestos y proyección'!$B$8)</f>
        <v>5823.73799389417</v>
      </c>
      <c r="D34" s="73" t="n">
        <f aca="false">C34</f>
        <v>5823.73799389417</v>
      </c>
      <c r="E34" s="73" t="n">
        <f aca="false">E33+D34</f>
        <v>72180.609981926</v>
      </c>
      <c r="F34" s="73" t="n">
        <f aca="false">C34</f>
        <v>5823.73799389417</v>
      </c>
      <c r="G34" s="73" t="n">
        <f aca="false">G33+F34</f>
        <v>66780.609981926</v>
      </c>
    </row>
    <row r="35" customFormat="false" ht="15" hidden="false" customHeight="false" outlineLevel="0" collapsed="false">
      <c r="A35" s="72" t="n">
        <v>30</v>
      </c>
      <c r="B35" s="72" t="n">
        <f aca="false">B34+1</f>
        <v>2055</v>
      </c>
      <c r="C35" s="73" t="n">
        <f aca="false">C34*(1+'Supuestos y proyección'!$B$8)</f>
        <v>6056.68751364993</v>
      </c>
      <c r="D35" s="73" t="n">
        <f aca="false">C35</f>
        <v>6056.68751364993</v>
      </c>
      <c r="E35" s="73" t="n">
        <f aca="false">E34+D35</f>
        <v>78237.2974955759</v>
      </c>
      <c r="F35" s="73" t="n">
        <f aca="false">C35</f>
        <v>6056.68751364993</v>
      </c>
      <c r="G35" s="73" t="n">
        <f aca="false">G34+F35</f>
        <v>72837.2974955759</v>
      </c>
    </row>
    <row r="36" customFormat="false" ht="15" hidden="false" customHeight="false" outlineLevel="0" collapsed="false">
      <c r="A36" s="72" t="n">
        <v>31</v>
      </c>
      <c r="B36" s="72" t="n">
        <f aca="false">B35+1</f>
        <v>2056</v>
      </c>
      <c r="C36" s="73" t="n">
        <f aca="false">C35*(1+'Supuestos y proyección'!$B$8)</f>
        <v>6298.95501419593</v>
      </c>
      <c r="D36" s="73" t="n">
        <f aca="false">C36</f>
        <v>6298.95501419593</v>
      </c>
      <c r="E36" s="73" t="n">
        <f aca="false">E35+D36</f>
        <v>84536.2525097719</v>
      </c>
      <c r="F36" s="73" t="n">
        <f aca="false">C36</f>
        <v>6298.95501419593</v>
      </c>
      <c r="G36" s="73" t="n">
        <f aca="false">G35+F36</f>
        <v>79136.2525097718</v>
      </c>
    </row>
    <row r="37" customFormat="false" ht="15" hidden="false" customHeight="false" outlineLevel="0" collapsed="false">
      <c r="A37" s="72" t="n">
        <v>32</v>
      </c>
      <c r="B37" s="72" t="n">
        <f aca="false">B36+1</f>
        <v>2057</v>
      </c>
      <c r="C37" s="73" t="n">
        <f aca="false">C36*(1+'Supuestos y proyección'!$B$8)</f>
        <v>6550.91321476377</v>
      </c>
      <c r="D37" s="73" t="n">
        <f aca="false">C37</f>
        <v>6550.91321476377</v>
      </c>
      <c r="E37" s="73" t="n">
        <f aca="false">E36+D37</f>
        <v>91087.1657245356</v>
      </c>
      <c r="F37" s="73" t="n">
        <f aca="false">C37</f>
        <v>6550.91321476377</v>
      </c>
      <c r="G37" s="73" t="n">
        <f aca="false">G36+F37</f>
        <v>85687.1657245356</v>
      </c>
    </row>
    <row r="38" customFormat="false" ht="15" hidden="false" customHeight="false" outlineLevel="0" collapsed="false">
      <c r="A38" s="72" t="n">
        <v>33</v>
      </c>
      <c r="B38" s="72" t="n">
        <f aca="false">B37+1</f>
        <v>2058</v>
      </c>
      <c r="C38" s="73" t="n">
        <f aca="false">C37*(1+'Supuestos y proyección'!$B$8)</f>
        <v>6812.94974335432</v>
      </c>
      <c r="D38" s="73" t="n">
        <f aca="false">C38</f>
        <v>6812.94974335432</v>
      </c>
      <c r="E38" s="73" t="n">
        <f aca="false">E37+D38</f>
        <v>97900.1154678899</v>
      </c>
      <c r="F38" s="73" t="n">
        <f aca="false">C38</f>
        <v>6812.94974335432</v>
      </c>
      <c r="G38" s="73" t="n">
        <f aca="false">G37+F38</f>
        <v>92500.1154678899</v>
      </c>
    </row>
    <row r="39" customFormat="false" ht="15" hidden="false" customHeight="false" outlineLevel="0" collapsed="false">
      <c r="A39" s="72" t="n">
        <v>34</v>
      </c>
      <c r="B39" s="72" t="n">
        <f aca="false">B38+1</f>
        <v>2059</v>
      </c>
      <c r="C39" s="73" t="n">
        <f aca="false">C38*(1+'Supuestos y proyección'!$B$8)</f>
        <v>7085.46773308849</v>
      </c>
      <c r="D39" s="73" t="n">
        <f aca="false">C39</f>
        <v>7085.46773308849</v>
      </c>
      <c r="E39" s="73" t="n">
        <f aca="false">E38+D39</f>
        <v>104985.583200978</v>
      </c>
      <c r="F39" s="73" t="n">
        <f aca="false">C39</f>
        <v>7085.46773308849</v>
      </c>
      <c r="G39" s="73" t="n">
        <f aca="false">G38+F39</f>
        <v>99585.5832009784</v>
      </c>
    </row>
    <row r="40" customFormat="false" ht="15" hidden="false" customHeight="false" outlineLevel="0" collapsed="false">
      <c r="A40" s="72" t="n">
        <v>35</v>
      </c>
      <c r="B40" s="72" t="n">
        <f aca="false">B39+1</f>
        <v>2060</v>
      </c>
      <c r="C40" s="73" t="n">
        <f aca="false">C39*(1+'Supuestos y proyección'!$B$8)</f>
        <v>7368.88644241203</v>
      </c>
      <c r="D40" s="73" t="n">
        <f aca="false">C40</f>
        <v>7368.88644241203</v>
      </c>
      <c r="E40" s="73" t="n">
        <f aca="false">E39+D40</f>
        <v>112354.46964339</v>
      </c>
      <c r="F40" s="73" t="n">
        <f aca="false">C40</f>
        <v>7368.88644241203</v>
      </c>
      <c r="G40" s="73" t="n">
        <f aca="false">G39+F40</f>
        <v>106954.46964339</v>
      </c>
    </row>
    <row r="41" customFormat="false" ht="15" hidden="false" customHeight="false" outlineLevel="0" collapsed="false">
      <c r="A41" s="72" t="n">
        <v>36</v>
      </c>
      <c r="B41" s="72" t="n">
        <f aca="false">B40+1</f>
        <v>2061</v>
      </c>
      <c r="C41" s="73" t="n">
        <f aca="false">C40*(1+'Supuestos y proyección'!$B$8)</f>
        <v>7663.64190010851</v>
      </c>
      <c r="D41" s="73" t="n">
        <f aca="false">C41</f>
        <v>7663.64190010851</v>
      </c>
      <c r="E41" s="73" t="n">
        <f aca="false">E40+D41</f>
        <v>120018.111543499</v>
      </c>
      <c r="F41" s="73" t="n">
        <f aca="false">C41</f>
        <v>7663.64190010851</v>
      </c>
      <c r="G41" s="73" t="n">
        <f aca="false">G40+F41</f>
        <v>114618.111543499</v>
      </c>
    </row>
    <row r="42" customFormat="false" ht="15" hidden="false" customHeight="false" outlineLevel="0" collapsed="false">
      <c r="A42" s="72" t="n">
        <v>37</v>
      </c>
      <c r="B42" s="72" t="n">
        <f aca="false">B41+1</f>
        <v>2062</v>
      </c>
      <c r="C42" s="73" t="n">
        <f aca="false">C41*(1+'Supuestos y proyección'!$B$8)</f>
        <v>7970.18757611286</v>
      </c>
      <c r="D42" s="73" t="n">
        <f aca="false">C42</f>
        <v>7970.18757611286</v>
      </c>
      <c r="E42" s="73" t="n">
        <f aca="false">E41+D42</f>
        <v>127988.299119612</v>
      </c>
      <c r="F42" s="73" t="n">
        <f aca="false">C42</f>
        <v>7970.18757611286</v>
      </c>
      <c r="G42" s="73" t="n">
        <f aca="false">G41+F42</f>
        <v>122588.299119612</v>
      </c>
    </row>
    <row r="43" customFormat="false" ht="15" hidden="false" customHeight="false" outlineLevel="0" collapsed="false">
      <c r="A43" s="72" t="n">
        <v>38</v>
      </c>
      <c r="B43" s="72" t="n">
        <f aca="false">B42+1</f>
        <v>2063</v>
      </c>
      <c r="C43" s="73" t="n">
        <f aca="false">C42*(1+'Supuestos y proyección'!$B$8)</f>
        <v>8288.99507915737</v>
      </c>
      <c r="D43" s="73" t="n">
        <f aca="false">C43</f>
        <v>8288.99507915737</v>
      </c>
      <c r="E43" s="73" t="n">
        <f aca="false">E42+D43</f>
        <v>136277.294198769</v>
      </c>
      <c r="F43" s="73" t="n">
        <f aca="false">C43</f>
        <v>8288.99507915737</v>
      </c>
      <c r="G43" s="73" t="n">
        <f aca="false">G42+F43</f>
        <v>130877.294198769</v>
      </c>
    </row>
    <row r="44" customFormat="false" ht="15" hidden="false" customHeight="false" outlineLevel="0" collapsed="false">
      <c r="A44" s="72" t="n">
        <v>39</v>
      </c>
      <c r="B44" s="72" t="n">
        <f aca="false">B43+1</f>
        <v>2064</v>
      </c>
      <c r="C44" s="73" t="n">
        <f aca="false">C43*(1+'Supuestos y proyección'!$B$8)</f>
        <v>8620.55488232367</v>
      </c>
      <c r="D44" s="73" t="n">
        <f aca="false">C44</f>
        <v>8620.55488232367</v>
      </c>
      <c r="E44" s="73" t="n">
        <f aca="false">E43+D44</f>
        <v>144897.849081093</v>
      </c>
      <c r="F44" s="73" t="n">
        <f aca="false">C44</f>
        <v>8620.55488232367</v>
      </c>
      <c r="G44" s="73" t="n">
        <f aca="false">G43+F44</f>
        <v>139497.849081093</v>
      </c>
    </row>
    <row r="45" customFormat="false" ht="15" hidden="false" customHeight="false" outlineLevel="0" collapsed="false">
      <c r="A45" s="72" t="n">
        <v>40</v>
      </c>
      <c r="B45" s="72" t="n">
        <f aca="false">B44+1</f>
        <v>2065</v>
      </c>
      <c r="C45" s="73" t="n">
        <f aca="false">C44*(1+'Supuestos y proyección'!$B$8)</f>
        <v>8965.37707761661</v>
      </c>
      <c r="D45" s="73" t="n">
        <f aca="false">C45</f>
        <v>8965.37707761661</v>
      </c>
      <c r="E45" s="73" t="n">
        <f aca="false">E44+D45</f>
        <v>153863.226158709</v>
      </c>
      <c r="F45" s="73" t="n">
        <f aca="false">C45</f>
        <v>8965.37707761661</v>
      </c>
      <c r="G45" s="73" t="n">
        <f aca="false">G44+F45</f>
        <v>148463.226158709</v>
      </c>
    </row>
    <row r="46" customFormat="false" ht="15" hidden="false" customHeight="false" outlineLevel="0" collapsed="false">
      <c r="A46" s="72" t="n">
        <v>41</v>
      </c>
      <c r="B46" s="72" t="n">
        <f aca="false">B45+1</f>
        <v>2066</v>
      </c>
      <c r="C46" s="73" t="n">
        <f aca="false">C45*(1+'Supuestos y proyección'!$B$8)</f>
        <v>9323.99216072128</v>
      </c>
      <c r="D46" s="73" t="n">
        <f aca="false">C46</f>
        <v>9323.99216072128</v>
      </c>
      <c r="E46" s="73" t="n">
        <f aca="false">E45+D46</f>
        <v>163187.218319431</v>
      </c>
      <c r="F46" s="73" t="n">
        <f aca="false">C46</f>
        <v>9323.99216072128</v>
      </c>
      <c r="G46" s="73" t="n">
        <f aca="false">G45+F46</f>
        <v>157787.218319431</v>
      </c>
    </row>
    <row r="47" customFormat="false" ht="15" hidden="false" customHeight="false" outlineLevel="0" collapsed="false">
      <c r="A47" s="72" t="n">
        <v>42</v>
      </c>
      <c r="B47" s="72" t="n">
        <f aca="false">B46+1</f>
        <v>2067</v>
      </c>
      <c r="C47" s="73" t="n">
        <f aca="false">C46*(1+'Supuestos y proyección'!$B$8)</f>
        <v>9696.95184715013</v>
      </c>
      <c r="D47" s="73" t="n">
        <f aca="false">C47</f>
        <v>9696.95184715013</v>
      </c>
      <c r="E47" s="73" t="n">
        <f aca="false">E46+D47</f>
        <v>172884.170166581</v>
      </c>
      <c r="F47" s="73" t="n">
        <f aca="false">C47</f>
        <v>9696.95184715013</v>
      </c>
      <c r="G47" s="73" t="n">
        <f aca="false">G46+F47</f>
        <v>167484.170166581</v>
      </c>
    </row>
    <row r="48" customFormat="false" ht="15" hidden="false" customHeight="false" outlineLevel="0" collapsed="false">
      <c r="A48" s="72" t="n">
        <v>43</v>
      </c>
      <c r="B48" s="72" t="n">
        <f aca="false">B47+1</f>
        <v>2068</v>
      </c>
      <c r="C48" s="73" t="n">
        <f aca="false">C47*(1+'Supuestos y proyección'!$B$8)</f>
        <v>10084.8299210361</v>
      </c>
      <c r="D48" s="73" t="n">
        <f aca="false">C48</f>
        <v>10084.8299210361</v>
      </c>
      <c r="E48" s="73" t="n">
        <f aca="false">E47+D48</f>
        <v>182969.000087617</v>
      </c>
      <c r="F48" s="73" t="n">
        <f aca="false">C48</f>
        <v>10084.8299210361</v>
      </c>
      <c r="G48" s="73" t="n">
        <f aca="false">G47+F48</f>
        <v>177569.000087617</v>
      </c>
    </row>
    <row r="49" customFormat="false" ht="15" hidden="false" customHeight="false" outlineLevel="0" collapsed="false">
      <c r="A49" s="72" t="n">
        <v>44</v>
      </c>
      <c r="B49" s="72" t="n">
        <f aca="false">B48+1</f>
        <v>2069</v>
      </c>
      <c r="C49" s="73" t="n">
        <f aca="false">C48*(1+'Supuestos y proyección'!$B$8)</f>
        <v>10488.2231178776</v>
      </c>
      <c r="D49" s="73" t="n">
        <f aca="false">C49</f>
        <v>10488.2231178776</v>
      </c>
      <c r="E49" s="73" t="n">
        <f aca="false">E48+D49</f>
        <v>193457.223205495</v>
      </c>
      <c r="F49" s="73" t="n">
        <f aca="false">C49</f>
        <v>10488.2231178776</v>
      </c>
      <c r="G49" s="73" t="n">
        <f aca="false">G48+F49</f>
        <v>188057.223205495</v>
      </c>
    </row>
    <row r="50" customFormat="false" ht="15" hidden="false" customHeight="false" outlineLevel="0" collapsed="false">
      <c r="A50" s="72" t="n">
        <v>45</v>
      </c>
      <c r="B50" s="72" t="n">
        <f aca="false">B49+1</f>
        <v>2070</v>
      </c>
      <c r="C50" s="73" t="n">
        <f aca="false">C49*(1+'Supuestos y proyección'!$B$8)</f>
        <v>10907.7520425927</v>
      </c>
      <c r="D50" s="73" t="n">
        <f aca="false">C50</f>
        <v>10907.7520425927</v>
      </c>
      <c r="E50" s="73" t="n">
        <f aca="false">E49+D50</f>
        <v>204364.975248087</v>
      </c>
      <c r="F50" s="73" t="n">
        <f aca="false">C50</f>
        <v>10907.7520425927</v>
      </c>
      <c r="G50" s="73" t="n">
        <f aca="false">G49+F50</f>
        <v>198964.975248087</v>
      </c>
    </row>
    <row r="51" customFormat="false" ht="15" hidden="false" customHeight="false" outlineLevel="0" collapsed="false">
      <c r="A51" s="72" t="n">
        <v>46</v>
      </c>
      <c r="B51" s="72" t="n">
        <f aca="false">B50+1</f>
        <v>2071</v>
      </c>
      <c r="C51" s="73" t="n">
        <f aca="false">C50*(1+'Supuestos y proyección'!$B$8)</f>
        <v>11344.0621242964</v>
      </c>
      <c r="D51" s="73" t="n">
        <f aca="false">C51</f>
        <v>11344.0621242964</v>
      </c>
      <c r="E51" s="73" t="n">
        <f aca="false">E50+D51</f>
        <v>215709.037372384</v>
      </c>
      <c r="F51" s="73" t="n">
        <f aca="false">C51</f>
        <v>11344.0621242964</v>
      </c>
      <c r="G51" s="73" t="n">
        <f aca="false">G50+F51</f>
        <v>210309.037372384</v>
      </c>
    </row>
    <row r="52" customFormat="false" ht="15" hidden="false" customHeight="false" outlineLevel="0" collapsed="false">
      <c r="A52" s="72" t="n">
        <v>47</v>
      </c>
      <c r="B52" s="72" t="n">
        <f aca="false">B51+1</f>
        <v>2072</v>
      </c>
      <c r="C52" s="73" t="n">
        <f aca="false">C51*(1+'Supuestos y proyección'!$B$8)</f>
        <v>11797.8246092683</v>
      </c>
      <c r="D52" s="73" t="n">
        <f aca="false">C52</f>
        <v>11797.8246092683</v>
      </c>
      <c r="E52" s="73" t="n">
        <f aca="false">E51+D52</f>
        <v>227506.861981652</v>
      </c>
      <c r="F52" s="73" t="n">
        <f aca="false">C52</f>
        <v>11797.8246092683</v>
      </c>
      <c r="G52" s="73" t="n">
        <f aca="false">G51+F52</f>
        <v>222106.861981652</v>
      </c>
    </row>
    <row r="53" customFormat="false" ht="15" hidden="false" customHeight="false" outlineLevel="0" collapsed="false">
      <c r="A53" s="72" t="n">
        <v>48</v>
      </c>
      <c r="B53" s="72" t="n">
        <f aca="false">B52+1</f>
        <v>2073</v>
      </c>
      <c r="C53" s="73" t="n">
        <f aca="false">C52*(1+'Supuestos y proyección'!$B$8)</f>
        <v>12269.737593639</v>
      </c>
      <c r="D53" s="73" t="n">
        <f aca="false">C53</f>
        <v>12269.737593639</v>
      </c>
      <c r="E53" s="73" t="n">
        <f aca="false">E52+D53</f>
        <v>239776.599575291</v>
      </c>
      <c r="F53" s="73" t="n">
        <f aca="false">C53</f>
        <v>12269.737593639</v>
      </c>
      <c r="G53" s="73" t="n">
        <f aca="false">G52+F53</f>
        <v>234376.599575291</v>
      </c>
    </row>
    <row r="54" customFormat="false" ht="15" hidden="false" customHeight="false" outlineLevel="0" collapsed="false">
      <c r="A54" s="72" t="n">
        <v>49</v>
      </c>
      <c r="B54" s="72" t="n">
        <f aca="false">B53+1</f>
        <v>2074</v>
      </c>
      <c r="C54" s="73" t="n">
        <f aca="false">C53*(1+'Supuestos y proyección'!$B$8)</f>
        <v>12760.5270973845</v>
      </c>
      <c r="D54" s="73" t="n">
        <f aca="false">C54</f>
        <v>12760.5270973845</v>
      </c>
      <c r="E54" s="73" t="n">
        <f aca="false">E53+D54</f>
        <v>252537.126672675</v>
      </c>
      <c r="F54" s="73" t="n">
        <f aca="false">C54</f>
        <v>12760.5270973845</v>
      </c>
      <c r="G54" s="73" t="n">
        <f aca="false">G53+F54</f>
        <v>247137.126672675</v>
      </c>
    </row>
    <row r="55" customFormat="false" ht="15" hidden="false" customHeight="false" outlineLevel="0" collapsed="false">
      <c r="A55" s="72" t="n">
        <v>50</v>
      </c>
      <c r="B55" s="72" t="n">
        <f aca="false">B54+1</f>
        <v>2075</v>
      </c>
      <c r="C55" s="73" t="n">
        <f aca="false">C54*(1+'Supuestos y proyección'!$B$8)</f>
        <v>13270.9481812799</v>
      </c>
      <c r="D55" s="73" t="n">
        <f aca="false">C55</f>
        <v>13270.9481812799</v>
      </c>
      <c r="E55" s="73" t="n">
        <f aca="false">E54+D55</f>
        <v>265808.074853955</v>
      </c>
      <c r="F55" s="73" t="n">
        <f aca="false">C55</f>
        <v>13270.9481812799</v>
      </c>
      <c r="G55" s="73" t="n">
        <f aca="false">G54+F55</f>
        <v>260408.074853955</v>
      </c>
    </row>
    <row r="56" customFormat="false" ht="15" hidden="false" customHeight="false" outlineLevel="0" collapsed="false">
      <c r="A56" s="72" t="n">
        <v>51</v>
      </c>
      <c r="B56" s="72" t="n">
        <f aca="false">B55+1</f>
        <v>2076</v>
      </c>
      <c r="C56" s="73" t="n">
        <f aca="false">C55*(1+'Supuestos y proyección'!$B$8)</f>
        <v>13801.7861085311</v>
      </c>
      <c r="D56" s="73" t="n">
        <f aca="false">C56</f>
        <v>13801.7861085311</v>
      </c>
      <c r="E56" s="73" t="n">
        <f aca="false">E55+D56</f>
        <v>279609.860962487</v>
      </c>
      <c r="F56" s="73" t="n">
        <f aca="false">C56</f>
        <v>13801.7861085311</v>
      </c>
      <c r="G56" s="73" t="n">
        <f aca="false">G55+F56</f>
        <v>274209.860962487</v>
      </c>
    </row>
    <row r="57" customFormat="false" ht="15" hidden="false" customHeight="false" outlineLevel="0" collapsed="false">
      <c r="A57" s="72" t="n">
        <v>52</v>
      </c>
      <c r="B57" s="72" t="n">
        <f aca="false">B56+1</f>
        <v>2077</v>
      </c>
      <c r="C57" s="73" t="n">
        <f aca="false">C56*(1+'Supuestos y proyección'!$B$8)</f>
        <v>14353.8575528724</v>
      </c>
      <c r="D57" s="73" t="n">
        <f aca="false">C57</f>
        <v>14353.8575528724</v>
      </c>
      <c r="E57" s="73" t="n">
        <f aca="false">E56+D57</f>
        <v>293963.718515359</v>
      </c>
      <c r="F57" s="73" t="n">
        <f aca="false">C57</f>
        <v>14353.8575528724</v>
      </c>
      <c r="G57" s="73" t="n">
        <f aca="false">G56+F57</f>
        <v>288563.718515359</v>
      </c>
    </row>
    <row r="58" customFormat="false" ht="15" hidden="false" customHeight="false" outlineLevel="0" collapsed="false">
      <c r="A58" s="72" t="n">
        <v>53</v>
      </c>
      <c r="B58" s="72" t="n">
        <f aca="false">B57+1</f>
        <v>2078</v>
      </c>
      <c r="C58" s="73" t="n">
        <f aca="false">C57*(1+'Supuestos y proyección'!$B$8)</f>
        <v>14928.0118549873</v>
      </c>
      <c r="D58" s="73" t="n">
        <f aca="false">C58</f>
        <v>14928.0118549873</v>
      </c>
      <c r="E58" s="73" t="n">
        <f aca="false">E57+D58</f>
        <v>308891.730370346</v>
      </c>
      <c r="F58" s="73" t="n">
        <f aca="false">C58</f>
        <v>14928.0118549873</v>
      </c>
      <c r="G58" s="73" t="n">
        <f aca="false">G57+F58</f>
        <v>303491.730370346</v>
      </c>
    </row>
    <row r="59" customFormat="false" ht="15" hidden="false" customHeight="false" outlineLevel="0" collapsed="false">
      <c r="A59" s="72" t="n">
        <v>54</v>
      </c>
      <c r="B59" s="72" t="n">
        <f aca="false">B58+1</f>
        <v>2079</v>
      </c>
      <c r="C59" s="73" t="n">
        <f aca="false">C58*(1+'Supuestos y proyección'!$B$8)</f>
        <v>15525.1323291868</v>
      </c>
      <c r="D59" s="73" t="n">
        <f aca="false">C59</f>
        <v>15525.1323291868</v>
      </c>
      <c r="E59" s="73" t="n">
        <f aca="false">E58+D59</f>
        <v>324416.862699533</v>
      </c>
      <c r="F59" s="73" t="n">
        <f aca="false">C59</f>
        <v>15525.1323291868</v>
      </c>
      <c r="G59" s="73" t="n">
        <f aca="false">G58+F59</f>
        <v>319016.862699533</v>
      </c>
    </row>
    <row r="60" customFormat="false" ht="15" hidden="false" customHeight="false" outlineLevel="0" collapsed="false">
      <c r="A60" s="72" t="n">
        <v>55</v>
      </c>
      <c r="B60" s="72" t="n">
        <f aca="false">B59+1</f>
        <v>2080</v>
      </c>
      <c r="C60" s="73" t="n">
        <f aca="false">C59*(1+'Supuestos y proyección'!$B$8)</f>
        <v>16146.1376223542</v>
      </c>
      <c r="D60" s="73" t="n">
        <f aca="false">C60</f>
        <v>16146.1376223542</v>
      </c>
      <c r="E60" s="73" t="n">
        <f aca="false">E59+D60</f>
        <v>340563.000321887</v>
      </c>
      <c r="F60" s="73" t="n">
        <f aca="false">C60</f>
        <v>16146.1376223542</v>
      </c>
      <c r="G60" s="73" t="n">
        <f aca="false">G59+F60</f>
        <v>335163.000321887</v>
      </c>
    </row>
    <row r="61" customFormat="false" ht="15" hidden="false" customHeight="false" outlineLevel="0" collapsed="false">
      <c r="A61" s="72" t="n">
        <v>56</v>
      </c>
      <c r="B61" s="72" t="n">
        <f aca="false">B60+1</f>
        <v>2081</v>
      </c>
      <c r="C61" s="73" t="n">
        <f aca="false">C60*(1+'Supuestos y proyección'!$B$8)</f>
        <v>16791.9831272484</v>
      </c>
      <c r="D61" s="73" t="n">
        <f aca="false">C61</f>
        <v>16791.9831272484</v>
      </c>
      <c r="E61" s="73" t="n">
        <f aca="false">E60+D61</f>
        <v>357354.983449136</v>
      </c>
      <c r="F61" s="73" t="n">
        <f aca="false">C61</f>
        <v>16791.9831272484</v>
      </c>
      <c r="G61" s="73" t="n">
        <f aca="false">G60+F61</f>
        <v>351954.983449136</v>
      </c>
    </row>
    <row r="62" customFormat="false" ht="15" hidden="false" customHeight="false" outlineLevel="0" collapsed="false">
      <c r="A62" s="72" t="n">
        <v>57</v>
      </c>
      <c r="B62" s="72" t="n">
        <f aca="false">B61+1</f>
        <v>2082</v>
      </c>
      <c r="C62" s="73" t="n">
        <f aca="false">C61*(1+'Supuestos y proyección'!$B$8)</f>
        <v>17463.6624523383</v>
      </c>
      <c r="D62" s="73" t="n">
        <f aca="false">C62</f>
        <v>17463.6624523383</v>
      </c>
      <c r="E62" s="73" t="n">
        <f aca="false">E61+D62</f>
        <v>374818.645901474</v>
      </c>
      <c r="F62" s="73" t="n">
        <f aca="false">C62</f>
        <v>17463.6624523383</v>
      </c>
      <c r="G62" s="73" t="n">
        <f aca="false">G61+F62</f>
        <v>369418.645901474</v>
      </c>
    </row>
    <row r="63" customFormat="false" ht="15" hidden="false" customHeight="false" outlineLevel="0" collapsed="false">
      <c r="A63" s="72" t="n">
        <v>58</v>
      </c>
      <c r="B63" s="72" t="n">
        <f aca="false">B62+1</f>
        <v>2083</v>
      </c>
      <c r="C63" s="73" t="n">
        <f aca="false">C62*(1+'Supuestos y proyección'!$B$8)</f>
        <v>18162.2089504319</v>
      </c>
      <c r="D63" s="73" t="n">
        <f aca="false">C63</f>
        <v>18162.2089504319</v>
      </c>
      <c r="E63" s="73" t="n">
        <f aca="false">E62+D63</f>
        <v>392980.854851906</v>
      </c>
      <c r="F63" s="73" t="n">
        <f aca="false">C63</f>
        <v>18162.2089504319</v>
      </c>
      <c r="G63" s="73" t="n">
        <f aca="false">G62+F63</f>
        <v>387580.854851906</v>
      </c>
    </row>
    <row r="64" customFormat="false" ht="15" hidden="false" customHeight="false" outlineLevel="0" collapsed="false">
      <c r="A64" s="72" t="n">
        <v>59</v>
      </c>
      <c r="B64" s="72" t="n">
        <f aca="false">B63+1</f>
        <v>2084</v>
      </c>
      <c r="C64" s="73" t="n">
        <f aca="false">C63*(1+'Supuestos y proyección'!$B$8)</f>
        <v>18888.6973084491</v>
      </c>
      <c r="D64" s="73" t="n">
        <f aca="false">C64</f>
        <v>18888.6973084491</v>
      </c>
      <c r="E64" s="73" t="n">
        <f aca="false">E63+D64</f>
        <v>411869.552160355</v>
      </c>
      <c r="F64" s="73" t="n">
        <f aca="false">C64</f>
        <v>18888.6973084491</v>
      </c>
      <c r="G64" s="73" t="n">
        <f aca="false">G63+F64</f>
        <v>406469.552160355</v>
      </c>
    </row>
    <row r="65" customFormat="false" ht="15" hidden="false" customHeight="false" outlineLevel="0" collapsed="false">
      <c r="A65" s="72" t="n">
        <v>60</v>
      </c>
      <c r="B65" s="72" t="n">
        <f aca="false">B64+1</f>
        <v>2085</v>
      </c>
      <c r="C65" s="73" t="n">
        <f aca="false">C64*(1+'Supuestos y proyección'!$B$8)</f>
        <v>19644.2452007871</v>
      </c>
      <c r="D65" s="73" t="n">
        <f aca="false">C65</f>
        <v>19644.2452007871</v>
      </c>
      <c r="E65" s="73" t="n">
        <f aca="false">E64+D65</f>
        <v>431513.797361142</v>
      </c>
      <c r="F65" s="73" t="n">
        <f aca="false">C65</f>
        <v>19644.2452007871</v>
      </c>
      <c r="G65" s="73" t="n">
        <f aca="false">G64+F65</f>
        <v>426113.797361142</v>
      </c>
    </row>
    <row r="66" customFormat="false" ht="15" hidden="false" customHeight="false" outlineLevel="0" collapsed="false">
      <c r="A66" s="72" t="n">
        <v>61</v>
      </c>
      <c r="B66" s="72" t="n">
        <f aca="false">B65+1</f>
        <v>2086</v>
      </c>
      <c r="C66" s="73" t="n">
        <f aca="false">C65*(1+'Supuestos y proyección'!$B$8)</f>
        <v>20430.0150088186</v>
      </c>
      <c r="D66" s="73" t="n">
        <f aca="false">C66</f>
        <v>20430.0150088186</v>
      </c>
      <c r="E66" s="73" t="n">
        <f aca="false">E65+D66</f>
        <v>451943.812369961</v>
      </c>
      <c r="F66" s="73" t="n">
        <f aca="false">C66</f>
        <v>20430.0150088186</v>
      </c>
      <c r="G66" s="73" t="n">
        <f aca="false">G65+F66</f>
        <v>446543.812369961</v>
      </c>
    </row>
    <row r="67" customFormat="false" ht="15" hidden="false" customHeight="false" outlineLevel="0" collapsed="false">
      <c r="A67" s="72" t="n">
        <v>62</v>
      </c>
      <c r="B67" s="72" t="n">
        <f aca="false">B66+1</f>
        <v>2087</v>
      </c>
      <c r="C67" s="73" t="n">
        <f aca="false">C66*(1+'Supuestos y proyección'!$B$8)</f>
        <v>21247.2156091713</v>
      </c>
      <c r="D67" s="73" t="n">
        <f aca="false">C67</f>
        <v>21247.2156091713</v>
      </c>
      <c r="E67" s="73" t="n">
        <f aca="false">E66+D67</f>
        <v>473191.027979132</v>
      </c>
      <c r="F67" s="73" t="n">
        <f aca="false">C67</f>
        <v>21247.2156091713</v>
      </c>
      <c r="G67" s="73" t="n">
        <f aca="false">G66+F67</f>
        <v>467791.027979132</v>
      </c>
    </row>
    <row r="68" customFormat="false" ht="15" hidden="false" customHeight="false" outlineLevel="0" collapsed="false">
      <c r="A68" s="72" t="n">
        <v>63</v>
      </c>
      <c r="B68" s="72" t="n">
        <f aca="false">B67+1</f>
        <v>2088</v>
      </c>
      <c r="C68" s="73" t="n">
        <f aca="false">C67*(1+'Supuestos y proyección'!$B$8)</f>
        <v>22097.1042335382</v>
      </c>
      <c r="D68" s="73" t="n">
        <f aca="false">C68</f>
        <v>22097.1042335382</v>
      </c>
      <c r="E68" s="73" t="n">
        <f aca="false">E67+D68</f>
        <v>495288.13221267</v>
      </c>
      <c r="F68" s="73" t="n">
        <f aca="false">C68</f>
        <v>22097.1042335382</v>
      </c>
      <c r="G68" s="73" t="n">
        <f aca="false">G67+F68</f>
        <v>489888.13221267</v>
      </c>
    </row>
    <row r="69" customFormat="false" ht="15" hidden="false" customHeight="false" outlineLevel="0" collapsed="false">
      <c r="A69" s="72" t="n">
        <v>64</v>
      </c>
      <c r="B69" s="72" t="n">
        <f aca="false">B68+1</f>
        <v>2089</v>
      </c>
      <c r="C69" s="73" t="n">
        <f aca="false">C68*(1+'Supuestos y proyección'!$B$8)</f>
        <v>22980.9884028797</v>
      </c>
      <c r="D69" s="73" t="n">
        <f aca="false">C69</f>
        <v>22980.9884028797</v>
      </c>
      <c r="E69" s="73" t="n">
        <f aca="false">E68+D69</f>
        <v>518269.12061555</v>
      </c>
      <c r="F69" s="73" t="n">
        <f aca="false">C69</f>
        <v>22980.9884028797</v>
      </c>
      <c r="G69" s="73" t="n">
        <f aca="false">G68+F69</f>
        <v>512869.12061555</v>
      </c>
    </row>
    <row r="70" customFormat="false" ht="15" hidden="false" customHeight="false" outlineLevel="0" collapsed="false">
      <c r="A70" s="72" t="n">
        <v>65</v>
      </c>
      <c r="B70" s="72" t="n">
        <f aca="false">B69+1</f>
        <v>2090</v>
      </c>
      <c r="C70" s="73" t="n">
        <f aca="false">C69*(1+'Supuestos y proyección'!$B$8)</f>
        <v>23900.2279389949</v>
      </c>
      <c r="D70" s="73" t="n">
        <f aca="false">C70</f>
        <v>23900.2279389949</v>
      </c>
      <c r="E70" s="73" t="n">
        <f aca="false">E69+D70</f>
        <v>542169.348554545</v>
      </c>
      <c r="F70" s="73" t="n">
        <f aca="false">C70</f>
        <v>23900.2279389949</v>
      </c>
      <c r="G70" s="73" t="n">
        <f aca="false">G69+F70</f>
        <v>536769.348554545</v>
      </c>
    </row>
    <row r="71" customFormat="false" ht="15" hidden="false" customHeight="false" outlineLevel="0" collapsed="false">
      <c r="A71" s="72" t="n">
        <v>66</v>
      </c>
      <c r="B71" s="72" t="n">
        <f aca="false">B70+1</f>
        <v>2091</v>
      </c>
      <c r="C71" s="73" t="n">
        <f aca="false">C70*(1+'Supuestos y proyección'!$B$8)</f>
        <v>24856.2370565547</v>
      </c>
      <c r="D71" s="73" t="n">
        <f aca="false">C71</f>
        <v>24856.2370565547</v>
      </c>
      <c r="E71" s="73" t="n">
        <f aca="false">E70+D71</f>
        <v>567025.585611099</v>
      </c>
      <c r="F71" s="73" t="n">
        <f aca="false">C71</f>
        <v>24856.2370565547</v>
      </c>
      <c r="G71" s="73" t="n">
        <f aca="false">G70+F71</f>
        <v>561625.585611099</v>
      </c>
    </row>
    <row r="72" customFormat="false" ht="15" hidden="false" customHeight="false" outlineLevel="0" collapsed="false">
      <c r="A72" s="72" t="n">
        <v>67</v>
      </c>
      <c r="B72" s="72" t="n">
        <f aca="false">B71+1</f>
        <v>2092</v>
      </c>
      <c r="C72" s="73" t="n">
        <f aca="false">C71*(1+'Supuestos y proyección'!$B$8)</f>
        <v>25850.4865388169</v>
      </c>
      <c r="D72" s="73" t="n">
        <f aca="false">C72</f>
        <v>25850.4865388169</v>
      </c>
      <c r="E72" s="73" t="n">
        <f aca="false">E71+D72</f>
        <v>592876.072149916</v>
      </c>
      <c r="F72" s="73" t="n">
        <f aca="false">C72</f>
        <v>25850.4865388169</v>
      </c>
      <c r="G72" s="73" t="n">
        <f aca="false">G71+F72</f>
        <v>587476.072149916</v>
      </c>
    </row>
    <row r="73" customFormat="false" ht="15" hidden="false" customHeight="false" outlineLevel="0" collapsed="false">
      <c r="A73" s="72" t="n">
        <v>68</v>
      </c>
      <c r="B73" s="72" t="n">
        <f aca="false">B72+1</f>
        <v>2093</v>
      </c>
      <c r="C73" s="73" t="n">
        <f aca="false">C72*(1+'Supuestos y proyección'!$B$8)</f>
        <v>26884.5060003696</v>
      </c>
      <c r="D73" s="73" t="n">
        <f aca="false">C73</f>
        <v>26884.5060003696</v>
      </c>
      <c r="E73" s="73" t="n">
        <f aca="false">E72+D73</f>
        <v>619760.578150286</v>
      </c>
      <c r="F73" s="73" t="n">
        <f aca="false">C73</f>
        <v>26884.5060003696</v>
      </c>
      <c r="G73" s="73" t="n">
        <f aca="false">G72+F73</f>
        <v>614360.578150286</v>
      </c>
    </row>
    <row r="74" customFormat="false" ht="15" hidden="false" customHeight="false" outlineLevel="0" collapsed="false">
      <c r="A74" s="72" t="n">
        <v>69</v>
      </c>
      <c r="B74" s="72" t="n">
        <f aca="false">B73+1</f>
        <v>2094</v>
      </c>
      <c r="C74" s="73" t="n">
        <f aca="false">C73*(1+'Supuestos y proyección'!$B$8)</f>
        <v>27959.8862403844</v>
      </c>
      <c r="D74" s="73" t="n">
        <f aca="false">C74</f>
        <v>27959.8862403844</v>
      </c>
      <c r="E74" s="73" t="n">
        <f aca="false">E73+D74</f>
        <v>647720.46439067</v>
      </c>
      <c r="F74" s="73" t="n">
        <f aca="false">C74</f>
        <v>27959.8862403844</v>
      </c>
      <c r="G74" s="73" t="n">
        <f aca="false">G73+F74</f>
        <v>642320.46439067</v>
      </c>
    </row>
    <row r="75" customFormat="false" ht="15" hidden="false" customHeight="false" outlineLevel="0" collapsed="false">
      <c r="A75" s="72" t="n">
        <v>70</v>
      </c>
      <c r="B75" s="72" t="n">
        <f aca="false">B74+1</f>
        <v>2095</v>
      </c>
      <c r="C75" s="73" t="n">
        <f aca="false">C74*(1+'Supuestos y proyección'!$B$8)</f>
        <v>29078.2816899997</v>
      </c>
      <c r="D75" s="73" t="n">
        <f aca="false">C75</f>
        <v>29078.2816899997</v>
      </c>
      <c r="E75" s="73" t="n">
        <f aca="false">E74+D75</f>
        <v>676798.74608067</v>
      </c>
      <c r="F75" s="73" t="n">
        <f aca="false">C75</f>
        <v>29078.2816899997</v>
      </c>
      <c r="G75" s="73" t="n">
        <f aca="false">G74+F75</f>
        <v>671398.74608067</v>
      </c>
    </row>
    <row r="76" customFormat="false" ht="15" hidden="false" customHeight="false" outlineLevel="0" collapsed="false">
      <c r="A76" s="72" t="n">
        <v>71</v>
      </c>
      <c r="B76" s="72" t="n">
        <f aca="false">B75+1</f>
        <v>2096</v>
      </c>
      <c r="C76" s="73" t="n">
        <f aca="false">C75*(1+'Supuestos y proyección'!$B$8)</f>
        <v>30241.4129575997</v>
      </c>
      <c r="D76" s="73" t="n">
        <f aca="false">C76</f>
        <v>30241.4129575997</v>
      </c>
      <c r="E76" s="73" t="n">
        <f aca="false">E75+D76</f>
        <v>707040.15903827</v>
      </c>
      <c r="F76" s="73" t="n">
        <f aca="false">C76</f>
        <v>30241.4129575997</v>
      </c>
      <c r="G76" s="73" t="n">
        <f aca="false">G75+F76</f>
        <v>701640.15903827</v>
      </c>
    </row>
    <row r="77" customFormat="false" ht="15" hidden="false" customHeight="false" outlineLevel="0" collapsed="false">
      <c r="A77" s="72" t="n">
        <v>72</v>
      </c>
      <c r="B77" s="72" t="n">
        <f aca="false">B76+1</f>
        <v>2097</v>
      </c>
      <c r="C77" s="73" t="n">
        <f aca="false">C76*(1+'Supuestos y proyección'!$B$8)</f>
        <v>31451.0694759037</v>
      </c>
      <c r="D77" s="73" t="n">
        <f aca="false">C77</f>
        <v>31451.0694759037</v>
      </c>
      <c r="E77" s="73" t="n">
        <f aca="false">E76+D77</f>
        <v>738491.228514173</v>
      </c>
      <c r="F77" s="73" t="n">
        <f aca="false">C77</f>
        <v>31451.0694759037</v>
      </c>
      <c r="G77" s="73" t="n">
        <f aca="false">G76+F77</f>
        <v>733091.228514173</v>
      </c>
    </row>
    <row r="78" customFormat="false" ht="15" hidden="false" customHeight="false" outlineLevel="0" collapsed="false">
      <c r="A78" s="72" t="n">
        <v>73</v>
      </c>
      <c r="B78" s="72" t="n">
        <f aca="false">B77+1</f>
        <v>2098</v>
      </c>
      <c r="C78" s="73" t="n">
        <f aca="false">C77*(1+'Supuestos y proyección'!$B$8)</f>
        <v>32709.1122549399</v>
      </c>
      <c r="D78" s="73" t="n">
        <f aca="false">C78</f>
        <v>32709.1122549399</v>
      </c>
      <c r="E78" s="73" t="n">
        <f aca="false">E77+D78</f>
        <v>771200.340769113</v>
      </c>
      <c r="F78" s="73" t="n">
        <f aca="false">C78</f>
        <v>32709.1122549399</v>
      </c>
      <c r="G78" s="73" t="n">
        <f aca="false">G77+F78</f>
        <v>765800.340769113</v>
      </c>
    </row>
    <row r="79" customFormat="false" ht="15" hidden="false" customHeight="false" outlineLevel="0" collapsed="false">
      <c r="A79" s="72" t="n">
        <v>74</v>
      </c>
      <c r="B79" s="72" t="n">
        <f aca="false">B78+1</f>
        <v>2099</v>
      </c>
      <c r="C79" s="73" t="n">
        <f aca="false">C78*(1+'Supuestos y proyección'!$B$8)</f>
        <v>34017.4767451375</v>
      </c>
      <c r="D79" s="73" t="n">
        <f aca="false">C79</f>
        <v>34017.4767451375</v>
      </c>
      <c r="E79" s="73" t="n">
        <f aca="false">E78+D79</f>
        <v>805217.817514251</v>
      </c>
      <c r="F79" s="73" t="n">
        <f aca="false">C79</f>
        <v>34017.4767451375</v>
      </c>
      <c r="G79" s="73" t="n">
        <f aca="false">G78+F79</f>
        <v>799817.817514251</v>
      </c>
    </row>
    <row r="80" customFormat="false" ht="15" hidden="false" customHeight="false" outlineLevel="0" collapsed="false">
      <c r="A80" s="72" t="n">
        <v>75</v>
      </c>
      <c r="B80" s="72" t="n">
        <f aca="false">B79+1</f>
        <v>2100</v>
      </c>
      <c r="C80" s="73" t="n">
        <f aca="false">C79*(1+'Supuestos y proyección'!$B$8)</f>
        <v>35378.175814943</v>
      </c>
      <c r="D80" s="73" t="n">
        <f aca="false">C80</f>
        <v>35378.175814943</v>
      </c>
      <c r="E80" s="73" t="n">
        <f aca="false">E79+D80</f>
        <v>840595.993329194</v>
      </c>
      <c r="F80" s="73" t="n">
        <f aca="false">C80</f>
        <v>35378.175814943</v>
      </c>
      <c r="G80" s="73" t="n">
        <f aca="false">G79+F80</f>
        <v>835195.993329194</v>
      </c>
    </row>
    <row r="81" customFormat="false" ht="15" hidden="false" customHeight="false" outlineLevel="0" collapsed="false">
      <c r="A81" s="72" t="n">
        <v>76</v>
      </c>
      <c r="B81" s="72" t="n">
        <f aca="false">B80+1</f>
        <v>2101</v>
      </c>
      <c r="C81" s="73" t="n">
        <f aca="false">C80*(1+'Supuestos y proyección'!$B$8)</f>
        <v>36793.3028475407</v>
      </c>
      <c r="D81" s="73" t="n">
        <f aca="false">C81</f>
        <v>36793.3028475407</v>
      </c>
      <c r="E81" s="73" t="n">
        <f aca="false">E80+D81</f>
        <v>877389.296176734</v>
      </c>
      <c r="F81" s="73" t="n">
        <f aca="false">C81</f>
        <v>36793.3028475407</v>
      </c>
      <c r="G81" s="73" t="n">
        <f aca="false">G80+F81</f>
        <v>871989.296176734</v>
      </c>
    </row>
    <row r="82" customFormat="false" ht="15" hidden="false" customHeight="false" outlineLevel="0" collapsed="false">
      <c r="A82" s="72" t="n">
        <v>77</v>
      </c>
      <c r="B82" s="72" t="n">
        <f aca="false">B81+1</f>
        <v>2102</v>
      </c>
      <c r="C82" s="73" t="n">
        <f aca="false">C81*(1+'Supuestos y proyección'!$B$8)</f>
        <v>38265.0349614423</v>
      </c>
      <c r="D82" s="73" t="n">
        <f aca="false">C82</f>
        <v>38265.0349614423</v>
      </c>
      <c r="E82" s="73" t="n">
        <f aca="false">E81+D82</f>
        <v>915654.331138177</v>
      </c>
      <c r="F82" s="73" t="n">
        <f aca="false">C82</f>
        <v>38265.0349614423</v>
      </c>
      <c r="G82" s="73" t="n">
        <f aca="false">G81+F82</f>
        <v>910254.331138177</v>
      </c>
    </row>
    <row r="83" customFormat="false" ht="15" hidden="false" customHeight="false" outlineLevel="0" collapsed="false">
      <c r="A83" s="72" t="n">
        <v>78</v>
      </c>
      <c r="B83" s="72" t="n">
        <f aca="false">B82+1</f>
        <v>2103</v>
      </c>
      <c r="C83" s="73" t="n">
        <f aca="false">C82*(1+'Supuestos y proyección'!$B$8)</f>
        <v>39795.6363599</v>
      </c>
      <c r="D83" s="73" t="n">
        <f aca="false">C83</f>
        <v>39795.6363599</v>
      </c>
      <c r="E83" s="73" t="n">
        <f aca="false">E82+D83</f>
        <v>955449.967498077</v>
      </c>
      <c r="F83" s="73" t="n">
        <f aca="false">C83</f>
        <v>39795.6363599</v>
      </c>
      <c r="G83" s="73" t="n">
        <f aca="false">G82+F83</f>
        <v>950049.967498077</v>
      </c>
    </row>
    <row r="84" customFormat="false" ht="15" hidden="false" customHeight="false" outlineLevel="0" collapsed="false">
      <c r="A84" s="72" t="n">
        <v>79</v>
      </c>
      <c r="B84" s="72" t="n">
        <f aca="false">B83+1</f>
        <v>2104</v>
      </c>
      <c r="C84" s="73" t="n">
        <f aca="false">C83*(1+'Supuestos y proyección'!$B$8)</f>
        <v>41387.461814296</v>
      </c>
      <c r="D84" s="73" t="n">
        <f aca="false">C84</f>
        <v>41387.461814296</v>
      </c>
      <c r="E84" s="73" t="n">
        <f aca="false">E83+D84</f>
        <v>996837.429312373</v>
      </c>
      <c r="F84" s="73" t="n">
        <f aca="false">C84</f>
        <v>41387.461814296</v>
      </c>
      <c r="G84" s="73" t="n">
        <f aca="false">G83+F84</f>
        <v>991437.429312373</v>
      </c>
    </row>
    <row r="85" customFormat="false" ht="15" hidden="false" customHeight="false" outlineLevel="0" collapsed="false">
      <c r="A85" s="72" t="n">
        <v>80</v>
      </c>
      <c r="B85" s="72" t="n">
        <f aca="false">B84+1</f>
        <v>2105</v>
      </c>
      <c r="C85" s="73" t="n">
        <f aca="false">C84*(1+'Supuestos y proyección'!$B$8)</f>
        <v>43042.9602868678</v>
      </c>
      <c r="D85" s="73" t="n">
        <f aca="false">C85</f>
        <v>43042.9602868678</v>
      </c>
      <c r="E85" s="73" t="n">
        <f aca="false">E84+D85</f>
        <v>1039880.38959924</v>
      </c>
      <c r="F85" s="73" t="n">
        <f aca="false">C85</f>
        <v>43042.9602868678</v>
      </c>
      <c r="G85" s="73" t="n">
        <f aca="false">G84+F85</f>
        <v>1034480.38959924</v>
      </c>
    </row>
    <row r="86" customFormat="false" ht="15" hidden="false" customHeight="false" outlineLevel="0" collapsed="false">
      <c r="A86" s="72" t="n">
        <v>81</v>
      </c>
      <c r="B86" s="72" t="n">
        <f aca="false">B85+1</f>
        <v>2106</v>
      </c>
      <c r="C86" s="73" t="n">
        <f aca="false">C85*(1+'Supuestos y proyección'!$B$8)</f>
        <v>44764.6786983425</v>
      </c>
      <c r="D86" s="73" t="n">
        <f aca="false">C86</f>
        <v>44764.6786983425</v>
      </c>
      <c r="E86" s="73" t="n">
        <f aca="false">E85+D86</f>
        <v>1084645.06829758</v>
      </c>
      <c r="F86" s="73" t="n">
        <f aca="false">C86</f>
        <v>44764.6786983425</v>
      </c>
      <c r="G86" s="73" t="n">
        <f aca="false">G85+F86</f>
        <v>1079245.06829758</v>
      </c>
    </row>
    <row r="87" customFormat="false" ht="15" hidden="false" customHeight="false" outlineLevel="0" collapsed="false">
      <c r="A87" s="72" t="n">
        <v>82</v>
      </c>
      <c r="B87" s="72" t="n">
        <f aca="false">B86+1</f>
        <v>2107</v>
      </c>
      <c r="C87" s="73" t="n">
        <f aca="false">C86*(1+'Supuestos y proyección'!$B$8)</f>
        <v>46555.2658462762</v>
      </c>
      <c r="D87" s="73" t="n">
        <f aca="false">C87</f>
        <v>46555.2658462762</v>
      </c>
      <c r="E87" s="73" t="n">
        <f aca="false">E86+D87</f>
        <v>1131200.33414386</v>
      </c>
      <c r="F87" s="73" t="n">
        <f aca="false">C87</f>
        <v>46555.2658462762</v>
      </c>
      <c r="G87" s="73" t="n">
        <f aca="false">G86+F87</f>
        <v>1125800.33414386</v>
      </c>
    </row>
    <row r="88" customFormat="false" ht="15" hidden="false" customHeight="false" outlineLevel="0" collapsed="false">
      <c r="A88" s="72" t="n">
        <v>83</v>
      </c>
      <c r="B88" s="72" t="n">
        <f aca="false">B87+1</f>
        <v>2108</v>
      </c>
      <c r="C88" s="73" t="n">
        <f aca="false">C87*(1+'Supuestos y proyección'!$B$8)</f>
        <v>48417.4764801273</v>
      </c>
      <c r="D88" s="73" t="n">
        <f aca="false">C88</f>
        <v>48417.4764801273</v>
      </c>
      <c r="E88" s="73" t="n">
        <f aca="false">E87+D88</f>
        <v>1179617.81062399</v>
      </c>
      <c r="F88" s="73" t="n">
        <f aca="false">C88</f>
        <v>48417.4764801273</v>
      </c>
      <c r="G88" s="73" t="n">
        <f aca="false">G87+F88</f>
        <v>1174217.81062399</v>
      </c>
    </row>
    <row r="89" customFormat="false" ht="15" hidden="false" customHeight="false" outlineLevel="0" collapsed="false">
      <c r="A89" s="72" t="n">
        <v>84</v>
      </c>
      <c r="B89" s="72" t="n">
        <f aca="false">B88+1</f>
        <v>2109</v>
      </c>
      <c r="C89" s="73" t="n">
        <f aca="false">C88*(1+'Supuestos y proyección'!$B$8)</f>
        <v>50354.1755393324</v>
      </c>
      <c r="D89" s="73" t="n">
        <f aca="false">C89</f>
        <v>50354.1755393324</v>
      </c>
      <c r="E89" s="73" t="n">
        <f aca="false">E88+D89</f>
        <v>1229971.98616332</v>
      </c>
      <c r="F89" s="73" t="n">
        <f aca="false">C89</f>
        <v>50354.1755393324</v>
      </c>
      <c r="G89" s="73" t="n">
        <f aca="false">G88+F89</f>
        <v>1224571.98616332</v>
      </c>
    </row>
    <row r="90" customFormat="false" ht="15" hidden="false" customHeight="false" outlineLevel="0" collapsed="false">
      <c r="A90" s="72" t="n">
        <v>85</v>
      </c>
      <c r="B90" s="72" t="n">
        <f aca="false">B89+1</f>
        <v>2110</v>
      </c>
      <c r="C90" s="73" t="n">
        <f aca="false">C89*(1+'Supuestos y proyección'!$B$8)</f>
        <v>52368.3425609057</v>
      </c>
      <c r="D90" s="73" t="n">
        <f aca="false">C90</f>
        <v>52368.3425609057</v>
      </c>
      <c r="E90" s="73" t="n">
        <f aca="false">E89+D90</f>
        <v>1282340.32872422</v>
      </c>
      <c r="F90" s="73" t="n">
        <f aca="false">C90</f>
        <v>52368.3425609057</v>
      </c>
      <c r="G90" s="73" t="n">
        <f aca="false">G89+F90</f>
        <v>1276940.32872422</v>
      </c>
    </row>
    <row r="91" customFormat="false" ht="15" hidden="false" customHeight="false" outlineLevel="0" collapsed="false">
      <c r="A91" s="72" t="n">
        <v>86</v>
      </c>
      <c r="B91" s="72" t="n">
        <f aca="false">B90+1</f>
        <v>2111</v>
      </c>
      <c r="C91" s="73" t="n">
        <f aca="false">C90*(1+'Supuestos y proyección'!$B$8)</f>
        <v>54463.0762633419</v>
      </c>
      <c r="D91" s="73" t="n">
        <f aca="false">C91</f>
        <v>54463.0762633419</v>
      </c>
      <c r="E91" s="73" t="n">
        <f aca="false">E90+D91</f>
        <v>1336803.40498757</v>
      </c>
      <c r="F91" s="73" t="n">
        <f aca="false">C91</f>
        <v>54463.0762633419</v>
      </c>
      <c r="G91" s="73" t="n">
        <f aca="false">G90+F91</f>
        <v>1331403.40498757</v>
      </c>
    </row>
    <row r="92" customFormat="false" ht="15" hidden="false" customHeight="false" outlineLevel="0" collapsed="false">
      <c r="A92" s="72" t="n">
        <v>87</v>
      </c>
      <c r="B92" s="72" t="n">
        <f aca="false">B91+1</f>
        <v>2112</v>
      </c>
      <c r="C92" s="73" t="n">
        <f aca="false">C91*(1+'Supuestos y proyección'!$B$8)</f>
        <v>56641.5993138756</v>
      </c>
      <c r="D92" s="73" t="n">
        <f aca="false">C92</f>
        <v>56641.5993138756</v>
      </c>
      <c r="E92" s="73" t="n">
        <f aca="false">E91+D92</f>
        <v>1393445.00430144</v>
      </c>
      <c r="F92" s="73" t="n">
        <f aca="false">C92</f>
        <v>56641.5993138756</v>
      </c>
      <c r="G92" s="73" t="n">
        <f aca="false">G91+F92</f>
        <v>1388045.00430144</v>
      </c>
    </row>
    <row r="93" customFormat="false" ht="15" hidden="false" customHeight="false" outlineLevel="0" collapsed="false">
      <c r="A93" s="72" t="n">
        <v>88</v>
      </c>
      <c r="B93" s="72" t="n">
        <f aca="false">B92+1</f>
        <v>2113</v>
      </c>
      <c r="C93" s="73" t="n">
        <f aca="false">C92*(1+'Supuestos y proyección'!$B$8)</f>
        <v>58907.2632864306</v>
      </c>
      <c r="D93" s="73" t="n">
        <f aca="false">C93</f>
        <v>58907.2632864306</v>
      </c>
      <c r="E93" s="73" t="n">
        <f aca="false">E92+D93</f>
        <v>1452352.26758787</v>
      </c>
      <c r="F93" s="73" t="n">
        <f aca="false">C93</f>
        <v>58907.2632864306</v>
      </c>
      <c r="G93" s="73" t="n">
        <f aca="false">G92+F93</f>
        <v>1446952.26758787</v>
      </c>
    </row>
    <row r="94" customFormat="false" ht="15" hidden="false" customHeight="false" outlineLevel="0" collapsed="false">
      <c r="A94" s="72" t="n">
        <v>89</v>
      </c>
      <c r="B94" s="72" t="n">
        <f aca="false">B93+1</f>
        <v>2114</v>
      </c>
      <c r="C94" s="73" t="n">
        <f aca="false">C93*(1+'Supuestos y proyección'!$B$8)</f>
        <v>61263.5538178878</v>
      </c>
      <c r="D94" s="73" t="n">
        <f aca="false">C94</f>
        <v>61263.5538178878</v>
      </c>
      <c r="E94" s="73" t="n">
        <f aca="false">E93+D94</f>
        <v>1513615.82140576</v>
      </c>
      <c r="F94" s="73" t="n">
        <f aca="false">C94</f>
        <v>61263.5538178878</v>
      </c>
      <c r="G94" s="73" t="n">
        <f aca="false">G93+F94</f>
        <v>1508215.82140576</v>
      </c>
    </row>
    <row r="95" customFormat="false" ht="15" hidden="false" customHeight="false" outlineLevel="0" collapsed="false">
      <c r="A95" s="72" t="n">
        <v>90</v>
      </c>
      <c r="B95" s="72" t="n">
        <f aca="false">B94+1</f>
        <v>2115</v>
      </c>
      <c r="C95" s="73" t="n">
        <f aca="false">C94*(1+'Supuestos y proyección'!$B$8)</f>
        <v>63714.0959706034</v>
      </c>
      <c r="D95" s="73" t="n">
        <f aca="false">C95</f>
        <v>63714.0959706034</v>
      </c>
      <c r="E95" s="73" t="n">
        <f aca="false">E94+D95</f>
        <v>1577329.91737636</v>
      </c>
      <c r="F95" s="73" t="n">
        <f aca="false">C95</f>
        <v>63714.0959706034</v>
      </c>
      <c r="G95" s="73" t="n">
        <f aca="false">G94+F95</f>
        <v>1571929.91737636</v>
      </c>
    </row>
    <row r="96" customFormat="false" ht="15" hidden="false" customHeight="false" outlineLevel="0" collapsed="false">
      <c r="A96" s="72" t="n">
        <v>91</v>
      </c>
      <c r="B96" s="72" t="n">
        <f aca="false">B95+1</f>
        <v>2116</v>
      </c>
      <c r="C96" s="73" t="n">
        <f aca="false">C95*(1+'Supuestos y proyección'!$B$8)</f>
        <v>66262.6598094275</v>
      </c>
      <c r="D96" s="73" t="n">
        <f aca="false">C96</f>
        <v>66262.6598094275</v>
      </c>
      <c r="E96" s="73" t="n">
        <f aca="false">E95+D96</f>
        <v>1643592.57718579</v>
      </c>
      <c r="F96" s="73" t="n">
        <f aca="false">C96</f>
        <v>66262.6598094275</v>
      </c>
      <c r="G96" s="73" t="n">
        <f aca="false">G95+F96</f>
        <v>1638192.57718579</v>
      </c>
    </row>
    <row r="97" customFormat="false" ht="15" hidden="false" customHeight="false" outlineLevel="0" collapsed="false">
      <c r="A97" s="72" t="n">
        <v>92</v>
      </c>
      <c r="B97" s="72" t="n">
        <f aca="false">B96+1</f>
        <v>2117</v>
      </c>
      <c r="C97" s="73" t="n">
        <f aca="false">C96*(1+'Supuestos y proyección'!$B$8)</f>
        <v>68913.1662018046</v>
      </c>
      <c r="D97" s="73" t="n">
        <f aca="false">C97</f>
        <v>68913.1662018046</v>
      </c>
      <c r="E97" s="73" t="n">
        <f aca="false">E96+D97</f>
        <v>1712505.7433876</v>
      </c>
      <c r="F97" s="73" t="n">
        <f aca="false">C97</f>
        <v>68913.1662018046</v>
      </c>
      <c r="G97" s="73" t="n">
        <f aca="false">G96+F97</f>
        <v>1707105.7433876</v>
      </c>
    </row>
    <row r="98" customFormat="false" ht="15" hidden="false" customHeight="false" outlineLevel="0" collapsed="false">
      <c r="A98" s="72" t="n">
        <v>93</v>
      </c>
      <c r="B98" s="72" t="n">
        <f aca="false">B97+1</f>
        <v>2118</v>
      </c>
      <c r="C98" s="73" t="n">
        <f aca="false">C97*(1+'Supuestos y proyección'!$B$8)</f>
        <v>71669.6928498768</v>
      </c>
      <c r="D98" s="73" t="n">
        <f aca="false">C98</f>
        <v>71669.6928498768</v>
      </c>
      <c r="E98" s="73" t="n">
        <f aca="false">E97+D98</f>
        <v>1784175.43623747</v>
      </c>
      <c r="F98" s="73" t="n">
        <f aca="false">C98</f>
        <v>71669.6928498768</v>
      </c>
      <c r="G98" s="73" t="n">
        <f aca="false">G97+F98</f>
        <v>1778775.43623747</v>
      </c>
    </row>
    <row r="99" customFormat="false" ht="15" hidden="false" customHeight="false" outlineLevel="0" collapsed="false">
      <c r="A99" s="72" t="n">
        <v>94</v>
      </c>
      <c r="B99" s="72" t="n">
        <f aca="false">B98+1</f>
        <v>2119</v>
      </c>
      <c r="C99" s="73" t="n">
        <f aca="false">C98*(1+'Supuestos y proyección'!$B$8)</f>
        <v>74536.4805638719</v>
      </c>
      <c r="D99" s="73" t="n">
        <f aca="false">C99</f>
        <v>74536.4805638719</v>
      </c>
      <c r="E99" s="73" t="n">
        <f aca="false">E98+D99</f>
        <v>1858711.91680134</v>
      </c>
      <c r="F99" s="73" t="n">
        <f aca="false">C99</f>
        <v>74536.4805638719</v>
      </c>
      <c r="G99" s="73" t="n">
        <f aca="false">G98+F99</f>
        <v>1853311.91680134</v>
      </c>
    </row>
    <row r="100" customFormat="false" ht="15" hidden="false" customHeight="false" outlineLevel="0" collapsed="false">
      <c r="A100" s="72" t="n">
        <v>95</v>
      </c>
      <c r="B100" s="72" t="n">
        <f aca="false">B99+1</f>
        <v>2120</v>
      </c>
      <c r="C100" s="73" t="n">
        <f aca="false">C99*(1+'Supuestos y proyección'!$B$8)</f>
        <v>77517.9397864268</v>
      </c>
      <c r="D100" s="73" t="n">
        <f aca="false">C100</f>
        <v>77517.9397864268</v>
      </c>
      <c r="E100" s="73" t="n">
        <f aca="false">E99+D100</f>
        <v>1936229.85658777</v>
      </c>
      <c r="F100" s="73" t="n">
        <f aca="false">C100</f>
        <v>77517.9397864268</v>
      </c>
      <c r="G100" s="73" t="n">
        <f aca="false">G99+F100</f>
        <v>1930829.85658777</v>
      </c>
    </row>
    <row r="101" customFormat="false" ht="15" hidden="false" customHeight="false" outlineLevel="0" collapsed="false">
      <c r="A101" s="72" t="n">
        <v>96</v>
      </c>
      <c r="B101" s="72" t="n">
        <f aca="false">B100+1</f>
        <v>2121</v>
      </c>
      <c r="C101" s="73" t="n">
        <f aca="false">C100*(1+'Supuestos y proyección'!$B$8)</f>
        <v>80618.6573778838</v>
      </c>
      <c r="D101" s="73" t="n">
        <f aca="false">C101</f>
        <v>80618.6573778838</v>
      </c>
      <c r="E101" s="73" t="n">
        <f aca="false">E100+D101</f>
        <v>2016848.51396566</v>
      </c>
      <c r="F101" s="73" t="n">
        <f aca="false">C101</f>
        <v>80618.6573778838</v>
      </c>
      <c r="G101" s="73" t="n">
        <f aca="false">G100+F101</f>
        <v>2011448.51396566</v>
      </c>
    </row>
    <row r="102" customFormat="false" ht="15" hidden="false" customHeight="false" outlineLevel="0" collapsed="false">
      <c r="A102" s="72" t="n">
        <v>97</v>
      </c>
      <c r="B102" s="72" t="n">
        <f aca="false">B101+1</f>
        <v>2122</v>
      </c>
      <c r="C102" s="73" t="n">
        <f aca="false">C101*(1+'Supuestos y proyección'!$B$8)</f>
        <v>83843.4036729992</v>
      </c>
      <c r="D102" s="73" t="n">
        <f aca="false">C102</f>
        <v>83843.4036729992</v>
      </c>
      <c r="E102" s="73" t="n">
        <f aca="false">E101+D102</f>
        <v>2100691.91763865</v>
      </c>
      <c r="F102" s="73" t="n">
        <f aca="false">C102</f>
        <v>83843.4036729992</v>
      </c>
      <c r="G102" s="73" t="n">
        <f aca="false">G101+F102</f>
        <v>2095291.91763865</v>
      </c>
    </row>
    <row r="103" customFormat="false" ht="15" hidden="false" customHeight="false" outlineLevel="0" collapsed="false">
      <c r="A103" s="72" t="n">
        <v>98</v>
      </c>
      <c r="B103" s="72" t="n">
        <f aca="false">B102+1</f>
        <v>2123</v>
      </c>
      <c r="C103" s="73" t="n">
        <f aca="false">C102*(1+'Supuestos y proyección'!$B$8)</f>
        <v>87197.1398199192</v>
      </c>
      <c r="D103" s="73" t="n">
        <f aca="false">C103</f>
        <v>87197.1398199192</v>
      </c>
      <c r="E103" s="73" t="n">
        <f aca="false">E102+D103</f>
        <v>2187889.05745857</v>
      </c>
      <c r="F103" s="73" t="n">
        <f aca="false">C103</f>
        <v>87197.1398199192</v>
      </c>
      <c r="G103" s="73" t="n">
        <f aca="false">G102+F103</f>
        <v>2182489.05745857</v>
      </c>
    </row>
    <row r="104" customFormat="false" ht="15" hidden="false" customHeight="false" outlineLevel="0" collapsed="false">
      <c r="A104" s="72" t="n">
        <v>99</v>
      </c>
      <c r="B104" s="72" t="n">
        <f aca="false">B103+1</f>
        <v>2124</v>
      </c>
      <c r="C104" s="73" t="n">
        <f aca="false">C103*(1+'Supuestos y proyección'!$B$8)</f>
        <v>90685.0254127159</v>
      </c>
      <c r="D104" s="73" t="n">
        <f aca="false">C104</f>
        <v>90685.0254127159</v>
      </c>
      <c r="E104" s="73" t="n">
        <f aca="false">E103+D104</f>
        <v>2278574.08287129</v>
      </c>
      <c r="F104" s="73" t="n">
        <f aca="false">C104</f>
        <v>90685.0254127159</v>
      </c>
      <c r="G104" s="73" t="n">
        <f aca="false">G103+F104</f>
        <v>2273174.08287129</v>
      </c>
    </row>
    <row r="105" customFormat="false" ht="15" hidden="false" customHeight="false" outlineLevel="0" collapsed="false">
      <c r="A105" s="72" t="n">
        <v>100</v>
      </c>
      <c r="B105" s="72" t="n">
        <f aca="false">B104+1</f>
        <v>2125</v>
      </c>
      <c r="C105" s="73" t="n">
        <f aca="false">C104*(1+'Supuestos y proyección'!$B$8)</f>
        <v>94312.4264292246</v>
      </c>
      <c r="D105" s="73" t="n">
        <f aca="false">C105</f>
        <v>94312.4264292246</v>
      </c>
      <c r="E105" s="73" t="n">
        <f aca="false">E104+D105</f>
        <v>2372886.50930051</v>
      </c>
      <c r="F105" s="73" t="n">
        <f aca="false">C105</f>
        <v>94312.4264292246</v>
      </c>
      <c r="G105" s="73" t="n">
        <f aca="false">G104+F105</f>
        <v>2367486.50930051</v>
      </c>
    </row>
    <row r="106" customFormat="false" ht="15" hidden="false" customHeight="false" outlineLevel="0" collapsed="false">
      <c r="A106" s="72" t="n">
        <v>101</v>
      </c>
      <c r="B106" s="72" t="n">
        <f aca="false">B105+1</f>
        <v>2126</v>
      </c>
      <c r="C106" s="73" t="n">
        <f aca="false">C105*(1+'Supuestos y proyección'!$B$8)</f>
        <v>98084.9234863935</v>
      </c>
      <c r="D106" s="73" t="n">
        <f aca="false">C106</f>
        <v>98084.9234863935</v>
      </c>
      <c r="E106" s="73" t="n">
        <f aca="false">E105+D106</f>
        <v>2470971.43278691</v>
      </c>
      <c r="F106" s="73" t="n">
        <f aca="false">C106</f>
        <v>98084.9234863935</v>
      </c>
      <c r="G106" s="73" t="n">
        <f aca="false">G105+F106</f>
        <v>2465571.43278691</v>
      </c>
    </row>
    <row r="107" customFormat="false" ht="15" hidden="false" customHeight="false" outlineLevel="0" collapsed="false">
      <c r="A107" s="72" t="n">
        <v>102</v>
      </c>
      <c r="B107" s="72" t="n">
        <f aca="false">B106+1</f>
        <v>2127</v>
      </c>
      <c r="C107" s="73" t="n">
        <f aca="false">C106*(1+'Supuestos y proyección'!$B$8)</f>
        <v>102008.320425849</v>
      </c>
      <c r="D107" s="73" t="n">
        <f aca="false">C107</f>
        <v>102008.320425849</v>
      </c>
      <c r="E107" s="73" t="n">
        <f aca="false">E106+D107</f>
        <v>2572979.75321276</v>
      </c>
      <c r="F107" s="73" t="n">
        <f aca="false">C107</f>
        <v>102008.320425849</v>
      </c>
      <c r="G107" s="73" t="n">
        <f aca="false">G106+F107</f>
        <v>2567579.75321276</v>
      </c>
    </row>
    <row r="108" customFormat="false" ht="15" hidden="false" customHeight="false" outlineLevel="0" collapsed="false">
      <c r="A108" s="72" t="n">
        <v>103</v>
      </c>
      <c r="B108" s="72" t="n">
        <f aca="false">B107+1</f>
        <v>2128</v>
      </c>
      <c r="C108" s="73" t="n">
        <f aca="false">C107*(1+'Supuestos y proyección'!$B$8)</f>
        <v>106088.653242883</v>
      </c>
      <c r="D108" s="73" t="n">
        <f aca="false">C108</f>
        <v>106088.653242883</v>
      </c>
      <c r="E108" s="73" t="n">
        <f aca="false">E107+D108</f>
        <v>2679068.40645564</v>
      </c>
      <c r="F108" s="73" t="n">
        <f aca="false">C108</f>
        <v>106088.653242883</v>
      </c>
      <c r="G108" s="73" t="n">
        <f aca="false">G107+F108</f>
        <v>2673668.40645564</v>
      </c>
    </row>
    <row r="109" customFormat="false" ht="15" hidden="false" customHeight="false" outlineLevel="0" collapsed="false">
      <c r="A109" s="72" t="n">
        <v>104</v>
      </c>
      <c r="B109" s="72" t="n">
        <f aca="false">B108+1</f>
        <v>2129</v>
      </c>
      <c r="C109" s="73" t="n">
        <f aca="false">C108*(1+'Supuestos y proyección'!$B$8)</f>
        <v>110332.199372599</v>
      </c>
      <c r="D109" s="73" t="n">
        <f aca="false">C109</f>
        <v>110332.199372599</v>
      </c>
      <c r="E109" s="73" t="n">
        <f aca="false">E108+D109</f>
        <v>2789400.60582824</v>
      </c>
      <c r="F109" s="73" t="n">
        <f aca="false">C109</f>
        <v>110332.199372599</v>
      </c>
      <c r="G109" s="73" t="n">
        <f aca="false">G108+F109</f>
        <v>2784000.60582824</v>
      </c>
    </row>
    <row r="110" customFormat="false" ht="15" hidden="false" customHeight="false" outlineLevel="0" collapsed="false">
      <c r="A110" s="72" t="n">
        <v>105</v>
      </c>
      <c r="B110" s="72" t="n">
        <f aca="false">B109+1</f>
        <v>2130</v>
      </c>
      <c r="C110" s="73" t="n">
        <f aca="false">C109*(1+'Supuestos y proyección'!$B$8)</f>
        <v>114745.487347503</v>
      </c>
      <c r="D110" s="73" t="n">
        <f aca="false">C110</f>
        <v>114745.487347503</v>
      </c>
      <c r="E110" s="73" t="n">
        <f aca="false">E109+D110</f>
        <v>2904146.09317574</v>
      </c>
      <c r="F110" s="73" t="n">
        <f aca="false">C110</f>
        <v>114745.487347503</v>
      </c>
      <c r="G110" s="73" t="n">
        <f aca="false">G109+F110</f>
        <v>2898746.09317574</v>
      </c>
    </row>
    <row r="111" customFormat="false" ht="15" hidden="false" customHeight="false" outlineLevel="0" collapsed="false">
      <c r="A111" s="72" t="n">
        <v>106</v>
      </c>
      <c r="B111" s="72" t="n">
        <f aca="false">B110+1</f>
        <v>2131</v>
      </c>
      <c r="C111" s="73" t="n">
        <f aca="false">C110*(1+'Supuestos y proyección'!$B$8)</f>
        <v>119335.306841403</v>
      </c>
      <c r="D111" s="73" t="n">
        <f aca="false">C111</f>
        <v>119335.306841403</v>
      </c>
      <c r="E111" s="73" t="n">
        <f aca="false">E110+D111</f>
        <v>3023481.40001714</v>
      </c>
      <c r="F111" s="73" t="n">
        <f aca="false">C111</f>
        <v>119335.306841403</v>
      </c>
      <c r="G111" s="73" t="n">
        <f aca="false">G110+F111</f>
        <v>3018081.40001714</v>
      </c>
    </row>
    <row r="112" customFormat="false" ht="15" hidden="false" customHeight="false" outlineLevel="0" collapsed="false">
      <c r="A112" s="72" t="n">
        <v>107</v>
      </c>
      <c r="B112" s="72" t="n">
        <f aca="false">B111+1</f>
        <v>2132</v>
      </c>
      <c r="C112" s="73" t="n">
        <f aca="false">C111*(1+'Supuestos y proyección'!$B$8)</f>
        <v>124108.719115059</v>
      </c>
      <c r="D112" s="73" t="n">
        <f aca="false">C112</f>
        <v>124108.719115059</v>
      </c>
      <c r="E112" s="73" t="n">
        <f aca="false">E111+D112</f>
        <v>3147590.1191322</v>
      </c>
      <c r="F112" s="73" t="n">
        <f aca="false">C112</f>
        <v>124108.719115059</v>
      </c>
      <c r="G112" s="73" t="n">
        <f aca="false">G111+F112</f>
        <v>3142190.1191322</v>
      </c>
    </row>
    <row r="113" customFormat="false" ht="15" hidden="false" customHeight="false" outlineLevel="0" collapsed="false">
      <c r="A113" s="72" t="n">
        <v>108</v>
      </c>
      <c r="B113" s="72" t="n">
        <f aca="false">B112+1</f>
        <v>2133</v>
      </c>
      <c r="C113" s="73" t="n">
        <f aca="false">C112*(1+'Supuestos y proyección'!$B$8)</f>
        <v>129073.067879661</v>
      </c>
      <c r="D113" s="73" t="n">
        <f aca="false">C113</f>
        <v>129073.067879661</v>
      </c>
      <c r="E113" s="73" t="n">
        <f aca="false">E112+D113</f>
        <v>3276663.18701186</v>
      </c>
      <c r="F113" s="73" t="n">
        <f aca="false">C113</f>
        <v>129073.067879661</v>
      </c>
      <c r="G113" s="73" t="n">
        <f aca="false">G112+F113</f>
        <v>3271263.18701186</v>
      </c>
    </row>
    <row r="114" customFormat="false" ht="15" hidden="false" customHeight="false" outlineLevel="0" collapsed="false">
      <c r="A114" s="72" t="n">
        <v>109</v>
      </c>
      <c r="B114" s="72" t="n">
        <f aca="false">B113+1</f>
        <v>2134</v>
      </c>
      <c r="C114" s="73" t="n">
        <f aca="false">C113*(1+'Supuestos y proyección'!$B$8)</f>
        <v>134235.990594848</v>
      </c>
      <c r="D114" s="73" t="n">
        <f aca="false">C114</f>
        <v>134235.990594848</v>
      </c>
      <c r="E114" s="73" t="n">
        <f aca="false">E113+D114</f>
        <v>3410899.17760671</v>
      </c>
      <c r="F114" s="73" t="n">
        <f aca="false">C114</f>
        <v>134235.990594848</v>
      </c>
      <c r="G114" s="73" t="n">
        <f aca="false">G113+F114</f>
        <v>3405499.17760671</v>
      </c>
    </row>
    <row r="115" customFormat="false" ht="15" hidden="false" customHeight="false" outlineLevel="0" collapsed="false">
      <c r="A115" s="72" t="n">
        <v>110</v>
      </c>
      <c r="B115" s="72" t="n">
        <f aca="false">B114+1</f>
        <v>2135</v>
      </c>
      <c r="C115" s="73" t="n">
        <f aca="false">C114*(1+'Supuestos y proyección'!$B$8)</f>
        <v>139605.430218642</v>
      </c>
      <c r="D115" s="73" t="n">
        <f aca="false">C115</f>
        <v>139605.430218642</v>
      </c>
      <c r="E115" s="73" t="n">
        <f aca="false">E114+D115</f>
        <v>3550504.60782535</v>
      </c>
      <c r="F115" s="73" t="n">
        <f aca="false">C115</f>
        <v>139605.430218642</v>
      </c>
      <c r="G115" s="73" t="n">
        <f aca="false">G114+F115</f>
        <v>3545104.60782535</v>
      </c>
    </row>
    <row r="116" customFormat="false" ht="15" hidden="false" customHeight="false" outlineLevel="0" collapsed="false">
      <c r="A116" s="72" t="n">
        <v>111</v>
      </c>
      <c r="B116" s="72" t="n">
        <f aca="false">B115+1</f>
        <v>2136</v>
      </c>
      <c r="C116" s="73" t="n">
        <f aca="false">C115*(1+'Supuestos y proyección'!$B$8)</f>
        <v>145189.647427387</v>
      </c>
      <c r="D116" s="73" t="n">
        <f aca="false">C116</f>
        <v>145189.647427387</v>
      </c>
      <c r="E116" s="73" t="n">
        <f aca="false">E115+D116</f>
        <v>3695694.25525274</v>
      </c>
      <c r="F116" s="73" t="n">
        <f aca="false">C116</f>
        <v>145189.647427387</v>
      </c>
      <c r="G116" s="73" t="n">
        <f aca="false">G115+F116</f>
        <v>3690294.25525274</v>
      </c>
    </row>
    <row r="117" customFormat="false" ht="15" hidden="false" customHeight="false" outlineLevel="0" collapsed="false">
      <c r="A117" s="72" t="n">
        <v>112</v>
      </c>
      <c r="B117" s="72" t="n">
        <f aca="false">B116+1</f>
        <v>2137</v>
      </c>
      <c r="C117" s="73" t="n">
        <f aca="false">C116*(1+'Supuestos y proyección'!$B$8)</f>
        <v>150997.233324483</v>
      </c>
      <c r="D117" s="73" t="n">
        <f aca="false">C117</f>
        <v>150997.233324483</v>
      </c>
      <c r="E117" s="73" t="n">
        <f aca="false">E116+D117</f>
        <v>3846691.48857722</v>
      </c>
      <c r="F117" s="73" t="n">
        <f aca="false">C117</f>
        <v>150997.233324483</v>
      </c>
      <c r="G117" s="73" t="n">
        <f aca="false">G116+F117</f>
        <v>3841291.48857722</v>
      </c>
    </row>
    <row r="118" customFormat="false" ht="15" hidden="false" customHeight="false" outlineLevel="0" collapsed="false">
      <c r="A118" s="72" t="n">
        <v>113</v>
      </c>
      <c r="B118" s="72" t="n">
        <f aca="false">B117+1</f>
        <v>2138</v>
      </c>
      <c r="C118" s="73" t="n">
        <f aca="false">C117*(1+'Supuestos y proyección'!$B$8)</f>
        <v>157037.122657462</v>
      </c>
      <c r="D118" s="73" t="n">
        <f aca="false">C118</f>
        <v>157037.122657462</v>
      </c>
      <c r="E118" s="73" t="n">
        <f aca="false">E117+D118</f>
        <v>4003728.61123469</v>
      </c>
      <c r="F118" s="73" t="n">
        <f aca="false">C118</f>
        <v>157037.122657462</v>
      </c>
      <c r="G118" s="73" t="n">
        <f aca="false">G117+F118</f>
        <v>3998328.61123469</v>
      </c>
    </row>
    <row r="119" customFormat="false" ht="15" hidden="false" customHeight="false" outlineLevel="0" collapsed="false">
      <c r="A119" s="72" t="n">
        <v>114</v>
      </c>
      <c r="B119" s="72" t="n">
        <f aca="false">B118+1</f>
        <v>2139</v>
      </c>
      <c r="C119" s="73" t="n">
        <f aca="false">C118*(1+'Supuestos y proyección'!$B$8)</f>
        <v>163318.60756376</v>
      </c>
      <c r="D119" s="73" t="n">
        <f aca="false">C119</f>
        <v>163318.60756376</v>
      </c>
      <c r="E119" s="73" t="n">
        <f aca="false">E118+D119</f>
        <v>4167047.21879845</v>
      </c>
      <c r="F119" s="73" t="n">
        <f aca="false">C119</f>
        <v>163318.60756376</v>
      </c>
      <c r="G119" s="73" t="n">
        <f aca="false">G118+F119</f>
        <v>4161647.21879845</v>
      </c>
    </row>
    <row r="120" customFormat="false" ht="15" hidden="false" customHeight="false" outlineLevel="0" collapsed="false">
      <c r="A120" s="72" t="n">
        <v>115</v>
      </c>
      <c r="B120" s="72" t="n">
        <f aca="false">B119+1</f>
        <v>2140</v>
      </c>
      <c r="C120" s="73" t="n">
        <f aca="false">C119*(1+'Supuestos y proyección'!$B$8)</f>
        <v>169851.351866311</v>
      </c>
      <c r="D120" s="73" t="n">
        <f aca="false">C120</f>
        <v>169851.351866311</v>
      </c>
      <c r="E120" s="73" t="n">
        <f aca="false">E119+D120</f>
        <v>4336898.57066476</v>
      </c>
      <c r="F120" s="73" t="n">
        <f aca="false">C120</f>
        <v>169851.351866311</v>
      </c>
      <c r="G120" s="73" t="n">
        <f aca="false">G119+F120</f>
        <v>4331498.57066476</v>
      </c>
    </row>
    <row r="121" customFormat="false" ht="15" hidden="false" customHeight="false" outlineLevel="0" collapsed="false">
      <c r="A121" s="72" t="n">
        <v>116</v>
      </c>
      <c r="B121" s="72" t="n">
        <f aca="false">B120+1</f>
        <v>2141</v>
      </c>
      <c r="C121" s="73" t="n">
        <f aca="false">C120*(1+'Supuestos y proyección'!$B$8)</f>
        <v>176645.405940963</v>
      </c>
      <c r="D121" s="73" t="n">
        <f aca="false">C121</f>
        <v>176645.405940963</v>
      </c>
      <c r="E121" s="73" t="n">
        <f aca="false">E120+D121</f>
        <v>4513543.97660572</v>
      </c>
      <c r="F121" s="73" t="n">
        <f aca="false">C121</f>
        <v>176645.405940963</v>
      </c>
      <c r="G121" s="73" t="n">
        <f aca="false">G120+F121</f>
        <v>4508143.97660572</v>
      </c>
    </row>
    <row r="122" customFormat="false" ht="15" hidden="false" customHeight="false" outlineLevel="0" collapsed="false">
      <c r="A122" s="72" t="n">
        <v>117</v>
      </c>
      <c r="B122" s="72" t="n">
        <f aca="false">B121+1</f>
        <v>2142</v>
      </c>
      <c r="C122" s="73" t="n">
        <f aca="false">C121*(1+'Supuestos y proyección'!$B$8)</f>
        <v>183711.222178602</v>
      </c>
      <c r="D122" s="73" t="n">
        <f aca="false">C122</f>
        <v>183711.222178602</v>
      </c>
      <c r="E122" s="73" t="n">
        <f aca="false">E121+D122</f>
        <v>4697255.19878432</v>
      </c>
      <c r="F122" s="73" t="n">
        <f aca="false">C122</f>
        <v>183711.222178602</v>
      </c>
      <c r="G122" s="73" t="n">
        <f aca="false">G121+F122</f>
        <v>4691855.19878432</v>
      </c>
    </row>
    <row r="123" customFormat="false" ht="15" hidden="false" customHeight="false" outlineLevel="0" collapsed="false">
      <c r="A123" s="72" t="n">
        <v>118</v>
      </c>
      <c r="B123" s="72" t="n">
        <f aca="false">B122+1</f>
        <v>2143</v>
      </c>
      <c r="C123" s="73" t="n">
        <f aca="false">C122*(1+'Supuestos y proyección'!$B$8)</f>
        <v>191059.671065746</v>
      </c>
      <c r="D123" s="73" t="n">
        <f aca="false">C123</f>
        <v>191059.671065746</v>
      </c>
      <c r="E123" s="73" t="n">
        <f aca="false">E122+D123</f>
        <v>4888314.86985007</v>
      </c>
      <c r="F123" s="73" t="n">
        <f aca="false">C123</f>
        <v>191059.671065746</v>
      </c>
      <c r="G123" s="73" t="n">
        <f aca="false">G122+F123</f>
        <v>4882914.86985007</v>
      </c>
    </row>
    <row r="124" customFormat="false" ht="15" hidden="false" customHeight="false" outlineLevel="0" collapsed="false">
      <c r="A124" s="72" t="n">
        <v>119</v>
      </c>
      <c r="B124" s="72" t="n">
        <f aca="false">B123+1</f>
        <v>2144</v>
      </c>
      <c r="C124" s="73" t="n">
        <f aca="false">C123*(1+'Supuestos y proyección'!$B$8)</f>
        <v>198702.057908376</v>
      </c>
      <c r="D124" s="73" t="n">
        <f aca="false">C124</f>
        <v>198702.057908376</v>
      </c>
      <c r="E124" s="73" t="n">
        <f aca="false">E123+D124</f>
        <v>5087016.92775844</v>
      </c>
      <c r="F124" s="73" t="n">
        <f aca="false">C124</f>
        <v>198702.057908376</v>
      </c>
      <c r="G124" s="73" t="n">
        <f aca="false">G123+F124</f>
        <v>5081616.92775844</v>
      </c>
    </row>
    <row r="125" customFormat="false" ht="15" hidden="false" customHeight="false" outlineLevel="0" collapsed="false">
      <c r="A125" s="72" t="n">
        <v>120</v>
      </c>
      <c r="B125" s="72" t="n">
        <f aca="false">B124+1</f>
        <v>2145</v>
      </c>
      <c r="C125" s="73" t="n">
        <f aca="false">C124*(1+'Supuestos y proyección'!$B$8)</f>
        <v>206650.140224711</v>
      </c>
      <c r="D125" s="73" t="n">
        <f aca="false">C125</f>
        <v>206650.140224711</v>
      </c>
      <c r="E125" s="73" t="n">
        <f aca="false">E124+D125</f>
        <v>5293667.06798315</v>
      </c>
      <c r="F125" s="73" t="n">
        <f aca="false">C125</f>
        <v>206650.140224711</v>
      </c>
      <c r="G125" s="73" t="n">
        <f aca="false">G124+F125</f>
        <v>5288267.06798315</v>
      </c>
    </row>
    <row r="126" customFormat="false" ht="15" hidden="false" customHeight="false" outlineLevel="0" collapsed="false">
      <c r="A126" s="72" t="n">
        <v>121</v>
      </c>
      <c r="B126" s="72" t="n">
        <f aca="false">B125+1</f>
        <v>2146</v>
      </c>
      <c r="C126" s="73" t="n">
        <f aca="false">C125*(1+'Supuestos y proyección'!$B$8)</f>
        <v>214916.145833699</v>
      </c>
      <c r="D126" s="73" t="n">
        <f aca="false">C126</f>
        <v>214916.145833699</v>
      </c>
      <c r="E126" s="73" t="n">
        <f aca="false">E125+D126</f>
        <v>5508583.21381685</v>
      </c>
      <c r="F126" s="73" t="n">
        <f aca="false">C126</f>
        <v>214916.145833699</v>
      </c>
      <c r="G126" s="73" t="n">
        <f aca="false">G125+F126</f>
        <v>5503183.21381685</v>
      </c>
    </row>
    <row r="127" customFormat="false" ht="15" hidden="false" customHeight="false" outlineLevel="0" collapsed="false">
      <c r="A127" s="72" t="n">
        <v>122</v>
      </c>
      <c r="B127" s="72" t="n">
        <f aca="false">B126+1</f>
        <v>2147</v>
      </c>
      <c r="C127" s="73" t="n">
        <f aca="false">C126*(1+'Supuestos y proyección'!$B$8)</f>
        <v>223512.791667047</v>
      </c>
      <c r="D127" s="73" t="n">
        <f aca="false">C127</f>
        <v>223512.791667047</v>
      </c>
      <c r="E127" s="73" t="n">
        <f aca="false">E126+D127</f>
        <v>5732096.0054839</v>
      </c>
      <c r="F127" s="73" t="n">
        <f aca="false">C127</f>
        <v>223512.791667047</v>
      </c>
      <c r="G127" s="73" t="n">
        <f aca="false">G126+F127</f>
        <v>5726696.0054839</v>
      </c>
    </row>
    <row r="128" customFormat="false" ht="15" hidden="false" customHeight="false" outlineLevel="0" collapsed="false">
      <c r="A128" s="72" t="n">
        <v>123</v>
      </c>
      <c r="B128" s="72" t="n">
        <f aca="false">B127+1</f>
        <v>2148</v>
      </c>
      <c r="C128" s="73" t="n">
        <f aca="false">C127*(1+'Supuestos y proyección'!$B$8)</f>
        <v>232453.303333729</v>
      </c>
      <c r="D128" s="73" t="n">
        <f aca="false">C128</f>
        <v>232453.303333729</v>
      </c>
      <c r="E128" s="73" t="n">
        <f aca="false">E127+D128</f>
        <v>5964549.30881763</v>
      </c>
      <c r="F128" s="73" t="n">
        <f aca="false">C128</f>
        <v>232453.303333729</v>
      </c>
      <c r="G128" s="73" t="n">
        <f aca="false">G127+F128</f>
        <v>5959149.30881763</v>
      </c>
    </row>
    <row r="129" customFormat="false" ht="15" hidden="false" customHeight="false" outlineLevel="0" collapsed="false">
      <c r="A129" s="72" t="n">
        <v>124</v>
      </c>
      <c r="B129" s="72" t="n">
        <f aca="false">B128+1</f>
        <v>2149</v>
      </c>
      <c r="C129" s="73" t="n">
        <f aca="false">C128*(1+'Supuestos y proyección'!$B$8)</f>
        <v>241751.435467078</v>
      </c>
      <c r="D129" s="73" t="n">
        <f aca="false">C129</f>
        <v>241751.435467078</v>
      </c>
      <c r="E129" s="73" t="n">
        <f aca="false">E128+D129</f>
        <v>6206300.74428471</v>
      </c>
      <c r="F129" s="73" t="n">
        <f aca="false">C129</f>
        <v>241751.435467078</v>
      </c>
      <c r="G129" s="73" t="n">
        <f aca="false">G128+F129</f>
        <v>6200900.74428471</v>
      </c>
    </row>
    <row r="130" customFormat="false" ht="15" hidden="false" customHeight="false" outlineLevel="0" collapsed="false">
      <c r="A130" s="72" t="n">
        <v>125</v>
      </c>
      <c r="B130" s="72" t="n">
        <f aca="false">B129+1</f>
        <v>2150</v>
      </c>
      <c r="C130" s="73" t="n">
        <f aca="false">C129*(1+'Supuestos y proyección'!$B$8)</f>
        <v>251421.492885761</v>
      </c>
      <c r="D130" s="73" t="n">
        <f aca="false">C130</f>
        <v>251421.492885761</v>
      </c>
      <c r="E130" s="73" t="n">
        <f aca="false">E129+D130</f>
        <v>6457722.23717047</v>
      </c>
      <c r="F130" s="73" t="n">
        <f aca="false">C130</f>
        <v>251421.492885761</v>
      </c>
      <c r="G130" s="73" t="n">
        <f aca="false">G129+F130</f>
        <v>6452322.23717047</v>
      </c>
    </row>
    <row r="131" customFormat="false" ht="15" hidden="false" customHeight="false" outlineLevel="0" collapsed="false">
      <c r="A131" s="72" t="n">
        <v>126</v>
      </c>
      <c r="B131" s="72" t="n">
        <f aca="false">B130+1</f>
        <v>2151</v>
      </c>
      <c r="C131" s="73" t="n">
        <f aca="false">C130*(1+'Supuestos y proyección'!$B$8)</f>
        <v>261478.352601192</v>
      </c>
      <c r="D131" s="73" t="n">
        <f aca="false">C131</f>
        <v>261478.352601192</v>
      </c>
      <c r="E131" s="73" t="n">
        <f aca="false">E130+D131</f>
        <v>6719200.58977166</v>
      </c>
      <c r="F131" s="73" t="n">
        <f aca="false">C131</f>
        <v>261478.352601192</v>
      </c>
      <c r="G131" s="73" t="n">
        <f aca="false">G130+F131</f>
        <v>6713800.58977166</v>
      </c>
    </row>
    <row r="132" customFormat="false" ht="15" hidden="false" customHeight="false" outlineLevel="0" collapsed="false">
      <c r="A132" s="72" t="n">
        <v>127</v>
      </c>
      <c r="B132" s="72" t="n">
        <f aca="false">B131+1</f>
        <v>2152</v>
      </c>
      <c r="C132" s="73" t="n">
        <f aca="false">C131*(1+'Supuestos y proyección'!$B$8)</f>
        <v>271937.48670524</v>
      </c>
      <c r="D132" s="73" t="n">
        <f aca="false">C132</f>
        <v>271937.48670524</v>
      </c>
      <c r="E132" s="73" t="n">
        <f aca="false">E131+D132</f>
        <v>6991138.0764769</v>
      </c>
      <c r="F132" s="73" t="n">
        <f aca="false">C132</f>
        <v>271937.48670524</v>
      </c>
      <c r="G132" s="73" t="n">
        <f aca="false">G131+F132</f>
        <v>6985738.0764769</v>
      </c>
    </row>
    <row r="133" customFormat="false" ht="15" hidden="false" customHeight="false" outlineLevel="0" collapsed="false">
      <c r="A133" s="72" t="n">
        <v>128</v>
      </c>
      <c r="B133" s="72" t="n">
        <f aca="false">B132+1</f>
        <v>2153</v>
      </c>
      <c r="C133" s="73" t="n">
        <f aca="false">C132*(1+'Supuestos y proyección'!$B$8)</f>
        <v>282814.986173449</v>
      </c>
      <c r="D133" s="73" t="n">
        <f aca="false">C133</f>
        <v>282814.986173449</v>
      </c>
      <c r="E133" s="73" t="n">
        <f aca="false">E132+D133</f>
        <v>7273953.06265035</v>
      </c>
      <c r="F133" s="73" t="n">
        <f aca="false">C133</f>
        <v>282814.986173449</v>
      </c>
      <c r="G133" s="73" t="n">
        <f aca="false">G132+F133</f>
        <v>7268553.06265035</v>
      </c>
    </row>
    <row r="134" customFormat="false" ht="15" hidden="false" customHeight="false" outlineLevel="0" collapsed="false">
      <c r="A134" s="72" t="n">
        <v>129</v>
      </c>
      <c r="B134" s="72" t="n">
        <f aca="false">B133+1</f>
        <v>2154</v>
      </c>
      <c r="C134" s="73" t="n">
        <f aca="false">C133*(1+'Supuestos y proyección'!$B$8)</f>
        <v>294127.585620387</v>
      </c>
      <c r="D134" s="73" t="n">
        <f aca="false">C134</f>
        <v>294127.585620387</v>
      </c>
      <c r="E134" s="73" t="n">
        <f aca="false">E133+D134</f>
        <v>7568080.64827074</v>
      </c>
      <c r="F134" s="73" t="n">
        <f aca="false">C134</f>
        <v>294127.585620387</v>
      </c>
      <c r="G134" s="73" t="n">
        <f aca="false">G133+F134</f>
        <v>7562680.64827074</v>
      </c>
    </row>
    <row r="135" customFormat="false" ht="15" hidden="false" customHeight="false" outlineLevel="0" collapsed="false">
      <c r="A135" s="72" t="n">
        <v>130</v>
      </c>
      <c r="B135" s="72" t="n">
        <f aca="false">B134+1</f>
        <v>2155</v>
      </c>
      <c r="C135" s="73" t="n">
        <f aca="false">C134*(1+'Supuestos y proyección'!$B$8)</f>
        <v>305892.689045203</v>
      </c>
      <c r="D135" s="73" t="n">
        <f aca="false">C135</f>
        <v>305892.689045203</v>
      </c>
      <c r="E135" s="73" t="n">
        <f aca="false">E134+D135</f>
        <v>7873973.33731594</v>
      </c>
      <c r="F135" s="73" t="n">
        <f aca="false">C135</f>
        <v>305892.689045203</v>
      </c>
      <c r="G135" s="73" t="n">
        <f aca="false">G134+F135</f>
        <v>7868573.33731594</v>
      </c>
    </row>
    <row r="136" customFormat="false" ht="15" hidden="false" customHeight="false" outlineLevel="0" collapsed="false">
      <c r="A136" s="72" t="n">
        <v>131</v>
      </c>
      <c r="B136" s="72" t="n">
        <f aca="false">B135+1</f>
        <v>2156</v>
      </c>
      <c r="C136" s="73" t="n">
        <f aca="false">C135*(1+'Supuestos y proyección'!$B$8)</f>
        <v>318128.396607011</v>
      </c>
      <c r="D136" s="73" t="n">
        <f aca="false">C136</f>
        <v>318128.396607011</v>
      </c>
      <c r="E136" s="73" t="n">
        <f aca="false">E135+D136</f>
        <v>8192101.73392295</v>
      </c>
      <c r="F136" s="73" t="n">
        <f aca="false">C136</f>
        <v>318128.396607011</v>
      </c>
      <c r="G136" s="73" t="n">
        <f aca="false">G135+F136</f>
        <v>8186701.73392295</v>
      </c>
    </row>
    <row r="137" customFormat="false" ht="15" hidden="false" customHeight="false" outlineLevel="0" collapsed="false">
      <c r="A137" s="72" t="n">
        <v>132</v>
      </c>
      <c r="B137" s="72" t="n">
        <f aca="false">B136+1</f>
        <v>2157</v>
      </c>
      <c r="C137" s="73" t="n">
        <f aca="false">C136*(1+'Supuestos y proyección'!$B$8)</f>
        <v>330853.532471291</v>
      </c>
      <c r="D137" s="73" t="n">
        <f aca="false">C137</f>
        <v>330853.532471291</v>
      </c>
      <c r="E137" s="73" t="n">
        <f aca="false">E136+D137</f>
        <v>8522955.26639424</v>
      </c>
      <c r="F137" s="73" t="n">
        <f aca="false">C137</f>
        <v>330853.532471291</v>
      </c>
      <c r="G137" s="73" t="n">
        <f aca="false">G136+F137</f>
        <v>8517555.26639424</v>
      </c>
    </row>
    <row r="138" customFormat="false" ht="15" hidden="false" customHeight="false" outlineLevel="0" collapsed="false">
      <c r="A138" s="72" t="n">
        <v>133</v>
      </c>
      <c r="B138" s="72" t="n">
        <f aca="false">B137+1</f>
        <v>2158</v>
      </c>
      <c r="C138" s="73" t="n">
        <f aca="false">C137*(1+'Supuestos y proyección'!$B$8)</f>
        <v>344087.673770143</v>
      </c>
      <c r="D138" s="73" t="n">
        <f aca="false">C138</f>
        <v>344087.673770143</v>
      </c>
      <c r="E138" s="73" t="n">
        <f aca="false">E137+D138</f>
        <v>8867042.94016438</v>
      </c>
      <c r="F138" s="73" t="n">
        <f aca="false">C138</f>
        <v>344087.673770143</v>
      </c>
      <c r="G138" s="73" t="n">
        <f aca="false">G137+F138</f>
        <v>8861642.94016438</v>
      </c>
    </row>
    <row r="139" customFormat="false" ht="15" hidden="false" customHeight="false" outlineLevel="0" collapsed="false">
      <c r="A139" s="72" t="n">
        <v>134</v>
      </c>
      <c r="B139" s="72" t="n">
        <f aca="false">B138+1</f>
        <v>2159</v>
      </c>
      <c r="C139" s="73" t="n">
        <f aca="false">C138*(1+'Supuestos y proyección'!$B$8)</f>
        <v>357851.180720949</v>
      </c>
      <c r="D139" s="73" t="n">
        <f aca="false">C139</f>
        <v>357851.180720949</v>
      </c>
      <c r="E139" s="73" t="n">
        <f aca="false">E138+D139</f>
        <v>9224894.12088533</v>
      </c>
      <c r="F139" s="73" t="n">
        <f aca="false">C139</f>
        <v>357851.180720949</v>
      </c>
      <c r="G139" s="73" t="n">
        <f aca="false">G138+F139</f>
        <v>9219494.12088533</v>
      </c>
    </row>
    <row r="140" customFormat="false" ht="15" hidden="false" customHeight="false" outlineLevel="0" collapsed="false">
      <c r="A140" s="72" t="n">
        <v>135</v>
      </c>
      <c r="B140" s="72" t="n">
        <f aca="false">B139+1</f>
        <v>2160</v>
      </c>
      <c r="C140" s="73" t="n">
        <f aca="false">C139*(1+'Supuestos y proyección'!$B$8)</f>
        <v>372165.227949787</v>
      </c>
      <c r="D140" s="73" t="n">
        <f aca="false">C140</f>
        <v>372165.227949787</v>
      </c>
      <c r="E140" s="73" t="n">
        <f aca="false">E139+D140</f>
        <v>9597059.34883512</v>
      </c>
      <c r="F140" s="73" t="n">
        <f aca="false">C140</f>
        <v>372165.227949787</v>
      </c>
      <c r="G140" s="73" t="n">
        <f aca="false">G139+F140</f>
        <v>9591659.34883512</v>
      </c>
    </row>
    <row r="141" customFormat="false" ht="15" hidden="false" customHeight="false" outlineLevel="0" collapsed="false">
      <c r="A141" s="72" t="n">
        <v>136</v>
      </c>
      <c r="B141" s="72" t="n">
        <f aca="false">B140+1</f>
        <v>2161</v>
      </c>
      <c r="C141" s="73" t="n">
        <f aca="false">C140*(1+'Supuestos y proyección'!$B$8)</f>
        <v>387051.837067778</v>
      </c>
      <c r="D141" s="73" t="n">
        <f aca="false">C141</f>
        <v>387051.837067778</v>
      </c>
      <c r="E141" s="73" t="n">
        <f aca="false">E140+D141</f>
        <v>9984111.1859029</v>
      </c>
      <c r="F141" s="73" t="n">
        <f aca="false">C141</f>
        <v>387051.837067778</v>
      </c>
      <c r="G141" s="73" t="n">
        <f aca="false">G140+F141</f>
        <v>9978711.1859029</v>
      </c>
    </row>
    <row r="142" customFormat="false" ht="15" hidden="false" customHeight="false" outlineLevel="0" collapsed="false">
      <c r="A142" s="72" t="n">
        <v>137</v>
      </c>
      <c r="B142" s="72" t="n">
        <f aca="false">B141+1</f>
        <v>2162</v>
      </c>
      <c r="C142" s="73" t="n">
        <f aca="false">C141*(1+'Supuestos y proyección'!$B$8)</f>
        <v>402533.910550489</v>
      </c>
      <c r="D142" s="73" t="n">
        <f aca="false">C142</f>
        <v>402533.910550489</v>
      </c>
      <c r="E142" s="73" t="n">
        <f aca="false">E141+D142</f>
        <v>10386645.0964534</v>
      </c>
      <c r="F142" s="73" t="n">
        <f aca="false">C142</f>
        <v>402533.910550489</v>
      </c>
      <c r="G142" s="73" t="n">
        <f aca="false">G141+F142</f>
        <v>10381245.0964534</v>
      </c>
    </row>
    <row r="143" customFormat="false" ht="15" hidden="false" customHeight="false" outlineLevel="0" collapsed="false">
      <c r="A143" s="72" t="n">
        <v>138</v>
      </c>
      <c r="B143" s="72" t="n">
        <f aca="false">B142+1</f>
        <v>2163</v>
      </c>
      <c r="C143" s="73" t="n">
        <f aca="false">C142*(1+'Supuestos y proyección'!$B$8)</f>
        <v>418635.266972509</v>
      </c>
      <c r="D143" s="73" t="n">
        <f aca="false">C143</f>
        <v>418635.266972509</v>
      </c>
      <c r="E143" s="73" t="n">
        <f aca="false">E142+D143</f>
        <v>10805280.3634259</v>
      </c>
      <c r="F143" s="73" t="n">
        <f aca="false">C143</f>
        <v>418635.266972509</v>
      </c>
      <c r="G143" s="73" t="n">
        <f aca="false">G142+F143</f>
        <v>10799880.3634259</v>
      </c>
    </row>
    <row r="144" customFormat="false" ht="15" hidden="false" customHeight="false" outlineLevel="0" collapsed="false">
      <c r="A144" s="72" t="n">
        <v>139</v>
      </c>
      <c r="B144" s="72" t="n">
        <f aca="false">B143+1</f>
        <v>2164</v>
      </c>
      <c r="C144" s="73" t="n">
        <f aca="false">C143*(1+'Supuestos y proyección'!$B$8)</f>
        <v>435380.677651409</v>
      </c>
      <c r="D144" s="73" t="n">
        <f aca="false">C144</f>
        <v>435380.677651409</v>
      </c>
      <c r="E144" s="73" t="n">
        <f aca="false">E143+D144</f>
        <v>11240661.0410773</v>
      </c>
      <c r="F144" s="73" t="n">
        <f aca="false">C144</f>
        <v>435380.677651409</v>
      </c>
      <c r="G144" s="73" t="n">
        <f aca="false">G143+F144</f>
        <v>11235261.0410773</v>
      </c>
    </row>
    <row r="145" customFormat="false" ht="15" hidden="false" customHeight="false" outlineLevel="0" collapsed="false">
      <c r="A145" s="72" t="n">
        <v>140</v>
      </c>
      <c r="B145" s="72" t="n">
        <f aca="false">B144+1</f>
        <v>2165</v>
      </c>
      <c r="C145" s="73" t="n">
        <f aca="false">C144*(1+'Supuestos y proyección'!$B$8)</f>
        <v>452795.904757466</v>
      </c>
      <c r="D145" s="73" t="n">
        <f aca="false">C145</f>
        <v>452795.904757466</v>
      </c>
      <c r="E145" s="73" t="n">
        <f aca="false">E144+D145</f>
        <v>11693456.9458348</v>
      </c>
      <c r="F145" s="73" t="n">
        <f aca="false">C145</f>
        <v>452795.904757466</v>
      </c>
      <c r="G145" s="73" t="n">
        <f aca="false">G144+F145</f>
        <v>11688056.9458348</v>
      </c>
    </row>
    <row r="146" customFormat="false" ht="15" hidden="false" customHeight="false" outlineLevel="0" collapsed="false">
      <c r="A146" s="72" t="n">
        <v>141</v>
      </c>
      <c r="B146" s="72" t="n">
        <f aca="false">B145+1</f>
        <v>2166</v>
      </c>
      <c r="C146" s="73" t="n">
        <f aca="false">C145*(1+'Supuestos y proyección'!$B$8)</f>
        <v>470907.740947764</v>
      </c>
      <c r="D146" s="73" t="n">
        <f aca="false">C146</f>
        <v>470907.740947764</v>
      </c>
      <c r="E146" s="73" t="n">
        <f aca="false">E145+D146</f>
        <v>12164364.6867825</v>
      </c>
      <c r="F146" s="73" t="n">
        <f aca="false">C146</f>
        <v>470907.740947764</v>
      </c>
      <c r="G146" s="73" t="n">
        <f aca="false">G145+F146</f>
        <v>12158964.6867825</v>
      </c>
    </row>
    <row r="147" customFormat="false" ht="15" hidden="false" customHeight="false" outlineLevel="0" collapsed="false">
      <c r="A147" s="72" t="n">
        <v>142</v>
      </c>
      <c r="B147" s="72" t="n">
        <f aca="false">B146+1</f>
        <v>2167</v>
      </c>
      <c r="C147" s="73" t="n">
        <f aca="false">C146*(1+'Supuestos y proyección'!$B$8)</f>
        <v>489744.050585675</v>
      </c>
      <c r="D147" s="73" t="n">
        <f aca="false">C147</f>
        <v>489744.050585675</v>
      </c>
      <c r="E147" s="73" t="n">
        <f aca="false">E146+D147</f>
        <v>12654108.7373682</v>
      </c>
      <c r="F147" s="73" t="n">
        <f aca="false">C147</f>
        <v>489744.050585675</v>
      </c>
      <c r="G147" s="73" t="n">
        <f aca="false">G146+F147</f>
        <v>12648708.7373682</v>
      </c>
    </row>
    <row r="148" customFormat="false" ht="15" hidden="false" customHeight="false" outlineLevel="0" collapsed="false">
      <c r="A148" s="72" t="n">
        <v>143</v>
      </c>
      <c r="B148" s="72" t="n">
        <f aca="false">B147+1</f>
        <v>2168</v>
      </c>
      <c r="C148" s="73" t="n">
        <f aca="false">C147*(1+'Supuestos y proyección'!$B$8)</f>
        <v>509333.812609102</v>
      </c>
      <c r="D148" s="73" t="n">
        <f aca="false">C148</f>
        <v>509333.812609102</v>
      </c>
      <c r="E148" s="73" t="n">
        <f aca="false">E147+D148</f>
        <v>13163442.5499773</v>
      </c>
      <c r="F148" s="73" t="n">
        <f aca="false">C148</f>
        <v>509333.812609102</v>
      </c>
      <c r="G148" s="73" t="n">
        <f aca="false">G147+F148</f>
        <v>13158042.5499773</v>
      </c>
    </row>
    <row r="149" customFormat="false" ht="15" hidden="false" customHeight="false" outlineLevel="0" collapsed="false">
      <c r="A149" s="72" t="n">
        <v>144</v>
      </c>
      <c r="B149" s="72" t="n">
        <f aca="false">B148+1</f>
        <v>2169</v>
      </c>
      <c r="C149" s="73" t="n">
        <f aca="false">C148*(1+'Supuestos y proyección'!$B$8)</f>
        <v>529707.165113466</v>
      </c>
      <c r="D149" s="73" t="n">
        <f aca="false">C149</f>
        <v>529707.165113466</v>
      </c>
      <c r="E149" s="73" t="n">
        <f aca="false">E148+D149</f>
        <v>13693149.7150908</v>
      </c>
      <c r="F149" s="73" t="n">
        <f aca="false">C149</f>
        <v>529707.165113466</v>
      </c>
      <c r="G149" s="73" t="n">
        <f aca="false">G148+F149</f>
        <v>13687749.7150908</v>
      </c>
    </row>
    <row r="150" customFormat="false" ht="15" hidden="false" customHeight="false" outlineLevel="0" collapsed="false">
      <c r="A150" s="72" t="n">
        <v>145</v>
      </c>
      <c r="B150" s="72" t="n">
        <f aca="false">B149+1</f>
        <v>2170</v>
      </c>
      <c r="C150" s="73" t="n">
        <f aca="false">C149*(1+'Supuestos y proyección'!$B$8)</f>
        <v>550895.451718005</v>
      </c>
      <c r="D150" s="73" t="n">
        <f aca="false">C150</f>
        <v>550895.451718005</v>
      </c>
      <c r="E150" s="73" t="n">
        <f aca="false">E149+D150</f>
        <v>14244045.1668088</v>
      </c>
      <c r="F150" s="73" t="n">
        <f aca="false">C150</f>
        <v>550895.451718005</v>
      </c>
      <c r="G150" s="73" t="n">
        <f aca="false">G149+F150</f>
        <v>14238645.1668088</v>
      </c>
    </row>
    <row r="151" customFormat="false" ht="15" hidden="false" customHeight="false" outlineLevel="0" collapsed="false">
      <c r="A151" s="72" t="n">
        <v>146</v>
      </c>
      <c r="B151" s="72" t="n">
        <f aca="false">B150+1</f>
        <v>2171</v>
      </c>
      <c r="C151" s="73" t="n">
        <f aca="false">C150*(1+'Supuestos y proyección'!$B$8)</f>
        <v>572931.269786725</v>
      </c>
      <c r="D151" s="73" t="n">
        <f aca="false">C151</f>
        <v>572931.269786725</v>
      </c>
      <c r="E151" s="73" t="n">
        <f aca="false">E150+D151</f>
        <v>14816976.4365955</v>
      </c>
      <c r="F151" s="73" t="n">
        <f aca="false">C151</f>
        <v>572931.269786725</v>
      </c>
      <c r="G151" s="73" t="n">
        <f aca="false">G150+F151</f>
        <v>14811576.4365955</v>
      </c>
    </row>
    <row r="152" customFormat="false" ht="15" hidden="false" customHeight="false" outlineLevel="0" collapsed="false">
      <c r="A152" s="72" t="n">
        <v>147</v>
      </c>
      <c r="B152" s="72" t="n">
        <f aca="false">B151+1</f>
        <v>2172</v>
      </c>
      <c r="C152" s="73" t="n">
        <f aca="false">C151*(1+'Supuestos y proyección'!$B$8)</f>
        <v>595848.520578194</v>
      </c>
      <c r="D152" s="73" t="n">
        <f aca="false">C152</f>
        <v>595848.520578194</v>
      </c>
      <c r="E152" s="73" t="n">
        <f aca="false">E151+D152</f>
        <v>15412824.9571737</v>
      </c>
      <c r="F152" s="73" t="n">
        <f aca="false">C152</f>
        <v>595848.520578194</v>
      </c>
      <c r="G152" s="73" t="n">
        <f aca="false">G151+F152</f>
        <v>15407424.9571737</v>
      </c>
    </row>
    <row r="153" customFormat="false" ht="15" hidden="false" customHeight="false" outlineLevel="0" collapsed="false">
      <c r="A153" s="72" t="n">
        <v>148</v>
      </c>
      <c r="B153" s="72" t="n">
        <f aca="false">B152+1</f>
        <v>2173</v>
      </c>
      <c r="C153" s="73" t="n">
        <f aca="false">C152*(1+'Supuestos y proyección'!$B$8)</f>
        <v>619682.461401322</v>
      </c>
      <c r="D153" s="73" t="n">
        <f aca="false">C153</f>
        <v>619682.461401322</v>
      </c>
      <c r="E153" s="73" t="n">
        <f aca="false">E152+D153</f>
        <v>16032507.418575</v>
      </c>
      <c r="F153" s="73" t="n">
        <f aca="false">C153</f>
        <v>619682.461401322</v>
      </c>
      <c r="G153" s="73" t="n">
        <f aca="false">G152+F153</f>
        <v>16027107.418575</v>
      </c>
    </row>
    <row r="154" customFormat="false" ht="15" hidden="false" customHeight="false" outlineLevel="0" collapsed="false">
      <c r="A154" s="72" t="n">
        <v>149</v>
      </c>
      <c r="B154" s="72" t="n">
        <f aca="false">B153+1</f>
        <v>2174</v>
      </c>
      <c r="C154" s="73" t="n">
        <f aca="false">C153*(1+'Supuestos y proyección'!$B$8)</f>
        <v>644469.759857374</v>
      </c>
      <c r="D154" s="73" t="n">
        <f aca="false">C154</f>
        <v>644469.759857374</v>
      </c>
      <c r="E154" s="73" t="n">
        <f aca="false">E153+D154</f>
        <v>16676977.1784324</v>
      </c>
      <c r="F154" s="73" t="n">
        <f aca="false">C154</f>
        <v>644469.759857374</v>
      </c>
      <c r="G154" s="73" t="n">
        <f aca="false">G153+F154</f>
        <v>16671577.1784324</v>
      </c>
    </row>
    <row r="155" customFormat="false" ht="15" hidden="false" customHeight="false" outlineLevel="0" collapsed="false">
      <c r="A155" s="72" t="n">
        <v>150</v>
      </c>
      <c r="B155" s="72" t="n">
        <f aca="false">B154+1</f>
        <v>2175</v>
      </c>
      <c r="C155" s="73" t="n">
        <f aca="false">C154*(1+'Supuestos y proyección'!$B$8)</f>
        <v>670248.550251669</v>
      </c>
      <c r="D155" s="73" t="n">
        <f aca="false">C155</f>
        <v>670248.550251669</v>
      </c>
      <c r="E155" s="73" t="n">
        <f aca="false">E154+D155</f>
        <v>17347225.7286841</v>
      </c>
      <c r="F155" s="73" t="n">
        <f aca="false">C155</f>
        <v>670248.550251669</v>
      </c>
      <c r="G155" s="73" t="n">
        <f aca="false">G154+F155</f>
        <v>17341825.7286841</v>
      </c>
    </row>
    <row r="156" customFormat="false" ht="15" hidden="false" customHeight="false" outlineLevel="0" collapsed="false">
      <c r="A156" s="72" t="n">
        <v>151</v>
      </c>
      <c r="B156" s="72" t="n">
        <f aca="false">B155+1</f>
        <v>2176</v>
      </c>
      <c r="C156" s="73" t="n">
        <f aca="false">C155*(1+'Supuestos y proyección'!$B$8)</f>
        <v>697058.492261736</v>
      </c>
      <c r="D156" s="73" t="n">
        <f aca="false">C156</f>
        <v>697058.492261736</v>
      </c>
      <c r="E156" s="73" t="n">
        <f aca="false">E155+D156</f>
        <v>18044284.2209458</v>
      </c>
      <c r="F156" s="73" t="n">
        <f aca="false">C156</f>
        <v>697058.492261736</v>
      </c>
      <c r="G156" s="73" t="n">
        <f aca="false">G155+F156</f>
        <v>18038884.2209458</v>
      </c>
    </row>
    <row r="157" customFormat="false" ht="15" hidden="false" customHeight="false" outlineLevel="0" collapsed="false">
      <c r="A157" s="72" t="n">
        <v>152</v>
      </c>
      <c r="B157" s="72" t="n">
        <f aca="false">B156+1</f>
        <v>2177</v>
      </c>
      <c r="C157" s="73" t="n">
        <f aca="false">C156*(1+'Supuestos y proyección'!$B$8)</f>
        <v>724940.831952206</v>
      </c>
      <c r="D157" s="73" t="n">
        <f aca="false">C157</f>
        <v>724940.831952206</v>
      </c>
      <c r="E157" s="73" t="n">
        <f aca="false">E156+D157</f>
        <v>18769225.052898</v>
      </c>
      <c r="F157" s="73" t="n">
        <f aca="false">C157</f>
        <v>724940.831952206</v>
      </c>
      <c r="G157" s="73" t="n">
        <f aca="false">G156+F157</f>
        <v>18763825.052898</v>
      </c>
    </row>
    <row r="158" customFormat="false" ht="15" hidden="false" customHeight="false" outlineLevel="0" collapsed="false">
      <c r="A158" s="72" t="n">
        <v>153</v>
      </c>
      <c r="B158" s="72" t="n">
        <f aca="false">B157+1</f>
        <v>2178</v>
      </c>
      <c r="C158" s="73" t="n">
        <f aca="false">C157*(1+'Supuestos y proyección'!$B$8)</f>
        <v>753938.465230294</v>
      </c>
      <c r="D158" s="73" t="n">
        <f aca="false">C158</f>
        <v>753938.465230294</v>
      </c>
      <c r="E158" s="73" t="n">
        <f aca="false">E157+D158</f>
        <v>19523163.5181283</v>
      </c>
      <c r="F158" s="73" t="n">
        <f aca="false">C158</f>
        <v>753938.465230294</v>
      </c>
      <c r="G158" s="73" t="n">
        <f aca="false">G157+F158</f>
        <v>19517763.5181283</v>
      </c>
    </row>
    <row r="159" customFormat="false" ht="15" hidden="false" customHeight="false" outlineLevel="0" collapsed="false">
      <c r="A159" s="72" t="n">
        <v>154</v>
      </c>
      <c r="B159" s="72" t="n">
        <f aca="false">B158+1</f>
        <v>2179</v>
      </c>
      <c r="C159" s="73" t="n">
        <f aca="false">C158*(1+'Supuestos y proyección'!$B$8)</f>
        <v>784096.003839506</v>
      </c>
      <c r="D159" s="73" t="n">
        <f aca="false">C159</f>
        <v>784096.003839506</v>
      </c>
      <c r="E159" s="73" t="n">
        <f aca="false">E158+D159</f>
        <v>20307259.5219678</v>
      </c>
      <c r="F159" s="73" t="n">
        <f aca="false">C159</f>
        <v>784096.003839506</v>
      </c>
      <c r="G159" s="73" t="n">
        <f aca="false">G158+F159</f>
        <v>20301859.5219678</v>
      </c>
    </row>
    <row r="160" customFormat="false" ht="15" hidden="false" customHeight="false" outlineLevel="0" collapsed="false">
      <c r="A160" s="72" t="n">
        <v>155</v>
      </c>
      <c r="B160" s="72" t="n">
        <f aca="false">B159+1</f>
        <v>2180</v>
      </c>
      <c r="C160" s="73" t="n">
        <f aca="false">C159*(1+'Supuestos y proyección'!$B$8)</f>
        <v>815459.843993086</v>
      </c>
      <c r="D160" s="73" t="n">
        <f aca="false">C160</f>
        <v>815459.843993086</v>
      </c>
      <c r="E160" s="73" t="n">
        <f aca="false">E159+D160</f>
        <v>21122719.3659609</v>
      </c>
      <c r="F160" s="73" t="n">
        <f aca="false">C160</f>
        <v>815459.843993086</v>
      </c>
      <c r="G160" s="73" t="n">
        <f aca="false">G159+F160</f>
        <v>21117319.3659609</v>
      </c>
    </row>
    <row r="161" customFormat="false" ht="15" hidden="false" customHeight="false" outlineLevel="0" collapsed="false">
      <c r="A161" s="72" t="n">
        <v>156</v>
      </c>
      <c r="B161" s="72" t="n">
        <f aca="false">B160+1</f>
        <v>2181</v>
      </c>
      <c r="C161" s="73" t="n">
        <f aca="false">C160*(1+'Supuestos y proyección'!$B$8)</f>
        <v>848078.23775281</v>
      </c>
      <c r="D161" s="73" t="n">
        <f aca="false">C161</f>
        <v>848078.23775281</v>
      </c>
      <c r="E161" s="73" t="n">
        <f aca="false">E160+D161</f>
        <v>21970797.6037137</v>
      </c>
      <c r="F161" s="73" t="n">
        <f aca="false">C161</f>
        <v>848078.23775281</v>
      </c>
      <c r="G161" s="73" t="n">
        <f aca="false">G160+F161</f>
        <v>21965397.6037137</v>
      </c>
    </row>
    <row r="162" customFormat="false" ht="15" hidden="false" customHeight="false" outlineLevel="0" collapsed="false">
      <c r="A162" s="72" t="n">
        <v>157</v>
      </c>
      <c r="B162" s="72" t="n">
        <f aca="false">B161+1</f>
        <v>2182</v>
      </c>
      <c r="C162" s="73" t="n">
        <f aca="false">C161*(1+'Supuestos y proyección'!$B$8)</f>
        <v>882001.367262922</v>
      </c>
      <c r="D162" s="73" t="n">
        <f aca="false">C162</f>
        <v>882001.367262922</v>
      </c>
      <c r="E162" s="73" t="n">
        <f aca="false">E161+D162</f>
        <v>22852798.9709766</v>
      </c>
      <c r="F162" s="73" t="n">
        <f aca="false">C162</f>
        <v>882001.367262922</v>
      </c>
      <c r="G162" s="73" t="n">
        <f aca="false">G161+F162</f>
        <v>22847398.9709766</v>
      </c>
    </row>
    <row r="163" customFormat="false" ht="15" hidden="false" customHeight="false" outlineLevel="0" collapsed="false">
      <c r="A163" s="72" t="n">
        <v>158</v>
      </c>
      <c r="B163" s="72" t="n">
        <f aca="false">B162+1</f>
        <v>2183</v>
      </c>
      <c r="C163" s="73" t="n">
        <f aca="false">C162*(1+'Supuestos y proyección'!$B$8)</f>
        <v>917281.421953439</v>
      </c>
      <c r="D163" s="73" t="n">
        <f aca="false">C163</f>
        <v>917281.421953439</v>
      </c>
      <c r="E163" s="73" t="n">
        <f aca="false">E162+D163</f>
        <v>23770080.3929301</v>
      </c>
      <c r="F163" s="73" t="n">
        <f aca="false">C163</f>
        <v>917281.421953439</v>
      </c>
      <c r="G163" s="73" t="n">
        <f aca="false">G162+F163</f>
        <v>23764680.3929301</v>
      </c>
    </row>
    <row r="164" customFormat="false" ht="15" hidden="false" customHeight="false" outlineLevel="0" collapsed="false">
      <c r="A164" s="72" t="n">
        <v>159</v>
      </c>
      <c r="B164" s="72" t="n">
        <f aca="false">B163+1</f>
        <v>2184</v>
      </c>
      <c r="C164" s="73" t="n">
        <f aca="false">C163*(1+'Supuestos y proyección'!$B$8)</f>
        <v>953972.678831577</v>
      </c>
      <c r="D164" s="73" t="n">
        <f aca="false">C164</f>
        <v>953972.678831577</v>
      </c>
      <c r="E164" s="73" t="n">
        <f aca="false">E163+D164</f>
        <v>24724053.0717616</v>
      </c>
      <c r="F164" s="73" t="n">
        <f aca="false">C164</f>
        <v>953972.678831577</v>
      </c>
      <c r="G164" s="73" t="n">
        <f aca="false">G163+F164</f>
        <v>24718653.0717616</v>
      </c>
    </row>
    <row r="165" customFormat="false" ht="15" hidden="false" customHeight="false" outlineLevel="0" collapsed="false">
      <c r="A165" s="72" t="n">
        <v>160</v>
      </c>
      <c r="B165" s="72" t="n">
        <f aca="false">B164+1</f>
        <v>2185</v>
      </c>
      <c r="C165" s="73" t="n">
        <f aca="false">C164*(1+'Supuestos y proyección'!$B$8)</f>
        <v>992131.58598484</v>
      </c>
      <c r="D165" s="73" t="n">
        <f aca="false">C165</f>
        <v>992131.58598484</v>
      </c>
      <c r="E165" s="73" t="n">
        <f aca="false">E164+D165</f>
        <v>25716184.6577465</v>
      </c>
      <c r="F165" s="73" t="n">
        <f aca="false">C165</f>
        <v>992131.58598484</v>
      </c>
      <c r="G165" s="73" t="n">
        <f aca="false">G164+F165</f>
        <v>25710784.6577465</v>
      </c>
    </row>
    <row r="166" customFormat="false" ht="15" hidden="false" customHeight="false" outlineLevel="0" collapsed="false">
      <c r="A166" s="72" t="n">
        <v>161</v>
      </c>
      <c r="B166" s="72" t="n">
        <f aca="false">B165+1</f>
        <v>2186</v>
      </c>
      <c r="C166" s="73" t="n">
        <f aca="false">C165*(1+'Supuestos y proyección'!$B$8)</f>
        <v>1031816.84942423</v>
      </c>
      <c r="D166" s="73" t="n">
        <f aca="false">C166</f>
        <v>1031816.84942423</v>
      </c>
      <c r="E166" s="73" t="n">
        <f aca="false">E165+D166</f>
        <v>26748001.5071707</v>
      </c>
      <c r="F166" s="73" t="n">
        <f aca="false">C166</f>
        <v>1031816.84942423</v>
      </c>
      <c r="G166" s="73" t="n">
        <f aca="false">G165+F166</f>
        <v>26742601.5071707</v>
      </c>
    </row>
    <row r="167" customFormat="false" ht="15" hidden="false" customHeight="false" outlineLevel="0" collapsed="false">
      <c r="A167" s="72" t="n">
        <v>162</v>
      </c>
      <c r="B167" s="72" t="n">
        <f aca="false">B166+1</f>
        <v>2187</v>
      </c>
      <c r="C167" s="73" t="n">
        <f aca="false">C166*(1+'Supuestos y proyección'!$B$8)</f>
        <v>1073089.5234012</v>
      </c>
      <c r="D167" s="73" t="n">
        <f aca="false">C167</f>
        <v>1073089.5234012</v>
      </c>
      <c r="E167" s="73" t="n">
        <f aca="false">E166+D167</f>
        <v>27821091.0305719</v>
      </c>
      <c r="F167" s="73" t="n">
        <f aca="false">C167</f>
        <v>1073089.5234012</v>
      </c>
      <c r="G167" s="73" t="n">
        <f aca="false">G166+F167</f>
        <v>27815691.0305719</v>
      </c>
    </row>
    <row r="168" customFormat="false" ht="15" hidden="false" customHeight="false" outlineLevel="0" collapsed="false">
      <c r="A168" s="72" t="n">
        <v>163</v>
      </c>
      <c r="B168" s="72" t="n">
        <f aca="false">B167+1</f>
        <v>2188</v>
      </c>
      <c r="C168" s="73" t="n">
        <f aca="false">C167*(1+'Supuestos y proyección'!$B$8)</f>
        <v>1116013.10433725</v>
      </c>
      <c r="D168" s="73" t="n">
        <f aca="false">C168</f>
        <v>1116013.10433725</v>
      </c>
      <c r="E168" s="73" t="n">
        <f aca="false">E167+D168</f>
        <v>28937104.1349092</v>
      </c>
      <c r="F168" s="73" t="n">
        <f aca="false">C168</f>
        <v>1116013.10433725</v>
      </c>
      <c r="G168" s="73" t="n">
        <f aca="false">G167+F168</f>
        <v>28931704.1349092</v>
      </c>
    </row>
    <row r="169" customFormat="false" ht="15" hidden="false" customHeight="false" outlineLevel="0" collapsed="false">
      <c r="A169" s="72" t="n">
        <v>164</v>
      </c>
      <c r="B169" s="72" t="n">
        <f aca="false">B168+1</f>
        <v>2189</v>
      </c>
      <c r="C169" s="73" t="n">
        <f aca="false">C168*(1+'Supuestos y proyección'!$B$8)</f>
        <v>1160653.62851074</v>
      </c>
      <c r="D169" s="73" t="n">
        <f aca="false">C169</f>
        <v>1160653.62851074</v>
      </c>
      <c r="E169" s="73" t="n">
        <f aca="false">E168+D169</f>
        <v>30097757.7634199</v>
      </c>
      <c r="F169" s="73" t="n">
        <f aca="false">C169</f>
        <v>1160653.62851074</v>
      </c>
      <c r="G169" s="73" t="n">
        <f aca="false">G168+F169</f>
        <v>30092357.7634199</v>
      </c>
    </row>
    <row r="170" customFormat="false" ht="15" hidden="false" customHeight="false" outlineLevel="0" collapsed="false">
      <c r="A170" s="72" t="n">
        <v>165</v>
      </c>
      <c r="B170" s="72" t="n">
        <f aca="false">B169+1</f>
        <v>2190</v>
      </c>
      <c r="C170" s="73" t="n">
        <f aca="false">C169*(1+'Supuestos y proyección'!$B$8)</f>
        <v>1207079.77365117</v>
      </c>
      <c r="D170" s="73" t="n">
        <f aca="false">C170</f>
        <v>1207079.77365117</v>
      </c>
      <c r="E170" s="73" t="n">
        <f aca="false">E169+D170</f>
        <v>31304837.5370711</v>
      </c>
      <c r="F170" s="73" t="n">
        <f aca="false">C170</f>
        <v>1207079.77365117</v>
      </c>
      <c r="G170" s="73" t="n">
        <f aca="false">G169+F170</f>
        <v>31299437.5370711</v>
      </c>
    </row>
    <row r="171" customFormat="false" ht="15" hidden="false" customHeight="false" outlineLevel="0" collapsed="false">
      <c r="A171" s="72" t="n">
        <v>166</v>
      </c>
      <c r="B171" s="72" t="n">
        <f aca="false">B170+1</f>
        <v>2191</v>
      </c>
      <c r="C171" s="73" t="n">
        <f aca="false">C170*(1+'Supuestos y proyección'!$B$8)</f>
        <v>1255362.96459722</v>
      </c>
      <c r="D171" s="73" t="n">
        <f aca="false">C171</f>
        <v>1255362.96459722</v>
      </c>
      <c r="E171" s="73" t="n">
        <f aca="false">E170+D171</f>
        <v>32560200.5016683</v>
      </c>
      <c r="F171" s="73" t="n">
        <f aca="false">C171</f>
        <v>1255362.96459722</v>
      </c>
      <c r="G171" s="73" t="n">
        <f aca="false">G170+F171</f>
        <v>32554800.5016683</v>
      </c>
    </row>
    <row r="172" customFormat="false" ht="15" hidden="false" customHeight="false" outlineLevel="0" collapsed="false">
      <c r="A172" s="72" t="n">
        <v>167</v>
      </c>
      <c r="B172" s="72" t="n">
        <f aca="false">B171+1</f>
        <v>2192</v>
      </c>
      <c r="C172" s="73" t="n">
        <f aca="false">C171*(1+'Supuestos y proyección'!$B$8)</f>
        <v>1305577.48318111</v>
      </c>
      <c r="D172" s="73" t="n">
        <f aca="false">C172</f>
        <v>1305577.48318111</v>
      </c>
      <c r="E172" s="73" t="n">
        <f aca="false">E171+D172</f>
        <v>33865777.9848494</v>
      </c>
      <c r="F172" s="73" t="n">
        <f aca="false">C172</f>
        <v>1305577.48318111</v>
      </c>
      <c r="G172" s="73" t="n">
        <f aca="false">G171+F172</f>
        <v>33860377.9848494</v>
      </c>
    </row>
    <row r="173" customFormat="false" ht="15" hidden="false" customHeight="false" outlineLevel="0" collapsed="false">
      <c r="A173" s="72" t="n">
        <v>168</v>
      </c>
      <c r="B173" s="72" t="n">
        <f aca="false">B172+1</f>
        <v>2193</v>
      </c>
      <c r="C173" s="73" t="n">
        <f aca="false">C172*(1+'Supuestos y proyección'!$B$8)</f>
        <v>1357800.58250835</v>
      </c>
      <c r="D173" s="73" t="n">
        <f aca="false">C173</f>
        <v>1357800.58250835</v>
      </c>
      <c r="E173" s="73" t="n">
        <f aca="false">E172+D173</f>
        <v>35223578.5673578</v>
      </c>
      <c r="F173" s="73" t="n">
        <f aca="false">C173</f>
        <v>1357800.58250835</v>
      </c>
      <c r="G173" s="73" t="n">
        <f aca="false">G172+F173</f>
        <v>35218178.5673578</v>
      </c>
    </row>
    <row r="174" customFormat="false" ht="15" hidden="false" customHeight="false" outlineLevel="0" collapsed="false">
      <c r="A174" s="72" t="n">
        <v>169</v>
      </c>
      <c r="B174" s="72" t="n">
        <f aca="false">B173+1</f>
        <v>2194</v>
      </c>
      <c r="C174" s="73" t="n">
        <f aca="false">C173*(1+'Supuestos y proyección'!$B$8)</f>
        <v>1412112.60580868</v>
      </c>
      <c r="D174" s="73" t="n">
        <f aca="false">C174</f>
        <v>1412112.60580868</v>
      </c>
      <c r="E174" s="73" t="n">
        <f aca="false">E173+D174</f>
        <v>36635691.1731664</v>
      </c>
      <c r="F174" s="73" t="n">
        <f aca="false">C174</f>
        <v>1412112.60580868</v>
      </c>
      <c r="G174" s="73" t="n">
        <f aca="false">G173+F174</f>
        <v>36630291.1731664</v>
      </c>
    </row>
    <row r="175" customFormat="false" ht="15" hidden="false" customHeight="false" outlineLevel="0" collapsed="false">
      <c r="A175" s="72" t="n">
        <v>170</v>
      </c>
      <c r="B175" s="72" t="n">
        <f aca="false">B174+1</f>
        <v>2195</v>
      </c>
      <c r="C175" s="73" t="n">
        <f aca="false">C174*(1+'Supuestos y proyección'!$B$8)</f>
        <v>1468597.11004103</v>
      </c>
      <c r="D175" s="73" t="n">
        <f aca="false">C175</f>
        <v>1468597.11004103</v>
      </c>
      <c r="E175" s="73" t="n">
        <f aca="false">E174+D175</f>
        <v>38104288.2832075</v>
      </c>
      <c r="F175" s="73" t="n">
        <f aca="false">C175</f>
        <v>1468597.11004103</v>
      </c>
      <c r="G175" s="73" t="n">
        <f aca="false">G174+F175</f>
        <v>38098888.2832075</v>
      </c>
    </row>
    <row r="176" customFormat="false" ht="15" hidden="false" customHeight="false" outlineLevel="0" collapsed="false">
      <c r="A176" s="72" t="n">
        <v>171</v>
      </c>
      <c r="B176" s="72" t="n">
        <f aca="false">B175+1</f>
        <v>2196</v>
      </c>
      <c r="C176" s="73" t="n">
        <f aca="false">C175*(1+'Supuestos y proyección'!$B$8)</f>
        <v>1527340.99444267</v>
      </c>
      <c r="D176" s="73" t="n">
        <f aca="false">C176</f>
        <v>1527340.99444267</v>
      </c>
      <c r="E176" s="73" t="n">
        <f aca="false">E175+D176</f>
        <v>39631629.2776501</v>
      </c>
      <c r="F176" s="73" t="n">
        <f aca="false">C176</f>
        <v>1527340.99444267</v>
      </c>
      <c r="G176" s="73" t="n">
        <f aca="false">G175+F176</f>
        <v>39626229.2776501</v>
      </c>
    </row>
    <row r="177" customFormat="false" ht="15" hidden="false" customHeight="false" outlineLevel="0" collapsed="false">
      <c r="A177" s="72" t="n">
        <v>172</v>
      </c>
      <c r="B177" s="72" t="n">
        <f aca="false">B176+1</f>
        <v>2197</v>
      </c>
      <c r="C177" s="73" t="n">
        <f aca="false">C176*(1+'Supuestos y proyección'!$B$8)</f>
        <v>1588434.63422038</v>
      </c>
      <c r="D177" s="73" t="n">
        <f aca="false">C177</f>
        <v>1588434.63422038</v>
      </c>
      <c r="E177" s="73" t="n">
        <f aca="false">E176+D177</f>
        <v>41220063.9118705</v>
      </c>
      <c r="F177" s="73" t="n">
        <f aca="false">C177</f>
        <v>1588434.63422038</v>
      </c>
      <c r="G177" s="73" t="n">
        <f aca="false">G176+F177</f>
        <v>41214663.9118705</v>
      </c>
    </row>
    <row r="178" customFormat="false" ht="15" hidden="false" customHeight="false" outlineLevel="0" collapsed="false">
      <c r="A178" s="72" t="n">
        <v>173</v>
      </c>
      <c r="B178" s="72" t="n">
        <f aca="false">B177+1</f>
        <v>2198</v>
      </c>
      <c r="C178" s="73" t="n">
        <f aca="false">C177*(1+'Supuestos y proyección'!$B$8)</f>
        <v>1651972.0195892</v>
      </c>
      <c r="D178" s="73" t="n">
        <f aca="false">C178</f>
        <v>1651972.0195892</v>
      </c>
      <c r="E178" s="73" t="n">
        <f aca="false">E177+D178</f>
        <v>42872035.9314597</v>
      </c>
      <c r="F178" s="73" t="n">
        <f aca="false">C178</f>
        <v>1651972.0195892</v>
      </c>
      <c r="G178" s="73" t="n">
        <f aca="false">G177+F178</f>
        <v>42866635.9314597</v>
      </c>
    </row>
    <row r="179" customFormat="false" ht="15" hidden="false" customHeight="false" outlineLevel="0" collapsed="false">
      <c r="A179" s="72" t="n">
        <v>174</v>
      </c>
      <c r="B179" s="72" t="n">
        <f aca="false">B178+1</f>
        <v>2199</v>
      </c>
      <c r="C179" s="73" t="n">
        <f aca="false">C178*(1+'Supuestos y proyección'!$B$8)</f>
        <v>1718050.90037276</v>
      </c>
      <c r="D179" s="73" t="n">
        <f aca="false">C179</f>
        <v>1718050.90037276</v>
      </c>
      <c r="E179" s="73" t="n">
        <f aca="false">E178+D179</f>
        <v>44590086.8318325</v>
      </c>
      <c r="F179" s="73" t="n">
        <f aca="false">C179</f>
        <v>1718050.90037276</v>
      </c>
      <c r="G179" s="73" t="n">
        <f aca="false">G178+F179</f>
        <v>44584686.8318325</v>
      </c>
    </row>
    <row r="180" customFormat="false" ht="15" hidden="false" customHeight="false" outlineLevel="0" collapsed="false">
      <c r="A180" s="72" t="n">
        <v>175</v>
      </c>
      <c r="B180" s="72" t="n">
        <f aca="false">B179+1</f>
        <v>2200</v>
      </c>
      <c r="C180" s="73" t="n">
        <f aca="false">C179*(1+'Supuestos y proyección'!$B$8)</f>
        <v>1786772.93638767</v>
      </c>
      <c r="D180" s="73" t="n">
        <f aca="false">C180</f>
        <v>1786772.93638767</v>
      </c>
      <c r="E180" s="73" t="n">
        <f aca="false">E179+D180</f>
        <v>46376859.7682201</v>
      </c>
      <c r="F180" s="73" t="n">
        <f aca="false">C180</f>
        <v>1786772.93638767</v>
      </c>
      <c r="G180" s="73" t="n">
        <f aca="false">G179+F180</f>
        <v>46371459.7682201</v>
      </c>
    </row>
    <row r="181" customFormat="false" ht="15" hidden="false" customHeight="false" outlineLevel="0" collapsed="false">
      <c r="A181" s="72" t="n">
        <v>176</v>
      </c>
      <c r="B181" s="72" t="n">
        <f aca="false">B180+1</f>
        <v>2201</v>
      </c>
      <c r="C181" s="73" t="n">
        <f aca="false">C180*(1+'Supuestos y proyección'!$B$8)</f>
        <v>1858243.85384318</v>
      </c>
      <c r="D181" s="73" t="n">
        <f aca="false">C181</f>
        <v>1858243.85384318</v>
      </c>
      <c r="E181" s="73" t="n">
        <f aca="false">E180+D181</f>
        <v>48235103.6220633</v>
      </c>
      <c r="F181" s="73" t="n">
        <f aca="false">C181</f>
        <v>1858243.85384318</v>
      </c>
      <c r="G181" s="73" t="n">
        <f aca="false">G180+F181</f>
        <v>48229703.6220633</v>
      </c>
    </row>
    <row r="182" customFormat="false" ht="15" hidden="false" customHeight="false" outlineLevel="0" collapsed="false">
      <c r="A182" s="72" t="n">
        <v>177</v>
      </c>
      <c r="B182" s="72" t="n">
        <f aca="false">B181+1</f>
        <v>2202</v>
      </c>
      <c r="C182" s="73" t="n">
        <f aca="false">C181*(1+'Supuestos y proyección'!$B$8)</f>
        <v>1932573.60799691</v>
      </c>
      <c r="D182" s="73" t="n">
        <f aca="false">C182</f>
        <v>1932573.60799691</v>
      </c>
      <c r="E182" s="73" t="n">
        <f aca="false">E181+D182</f>
        <v>50167677.2300602</v>
      </c>
      <c r="F182" s="73" t="n">
        <f aca="false">C182</f>
        <v>1932573.60799691</v>
      </c>
      <c r="G182" s="73" t="n">
        <f aca="false">G181+F182</f>
        <v>50162277.2300602</v>
      </c>
    </row>
    <row r="183" customFormat="false" ht="15" hidden="false" customHeight="false" outlineLevel="0" collapsed="false">
      <c r="A183" s="72" t="n">
        <v>178</v>
      </c>
      <c r="B183" s="72" t="n">
        <f aca="false">B182+1</f>
        <v>2203</v>
      </c>
      <c r="C183" s="73" t="n">
        <f aca="false">C182*(1+'Supuestos y proyección'!$B$8)</f>
        <v>2009876.55231678</v>
      </c>
      <c r="D183" s="73" t="n">
        <f aca="false">C183</f>
        <v>2009876.55231678</v>
      </c>
      <c r="E183" s="73" t="n">
        <f aca="false">E182+D183</f>
        <v>52177553.782377</v>
      </c>
      <c r="F183" s="73" t="n">
        <f aca="false">C183</f>
        <v>2009876.55231678</v>
      </c>
      <c r="G183" s="73" t="n">
        <f aca="false">G182+F183</f>
        <v>52172153.782377</v>
      </c>
    </row>
    <row r="184" customFormat="false" ht="15" hidden="false" customHeight="false" outlineLevel="0" collapsed="false">
      <c r="A184" s="72" t="n">
        <v>179</v>
      </c>
      <c r="B184" s="72" t="n">
        <f aca="false">B183+1</f>
        <v>2204</v>
      </c>
      <c r="C184" s="73" t="n">
        <f aca="false">C183*(1+'Supuestos y proyección'!$B$8)</f>
        <v>2090271.61440946</v>
      </c>
      <c r="D184" s="73" t="n">
        <f aca="false">C184</f>
        <v>2090271.61440946</v>
      </c>
      <c r="E184" s="73" t="n">
        <f aca="false">E183+D184</f>
        <v>54267825.3967865</v>
      </c>
      <c r="F184" s="73" t="n">
        <f aca="false">C184</f>
        <v>2090271.61440946</v>
      </c>
      <c r="G184" s="73" t="n">
        <f aca="false">G183+F184</f>
        <v>54262425.3967865</v>
      </c>
    </row>
    <row r="185" customFormat="false" ht="15" hidden="false" customHeight="false" outlineLevel="0" collapsed="false">
      <c r="A185" s="72" t="n">
        <v>180</v>
      </c>
      <c r="B185" s="72" t="n">
        <f aca="false">B184+1</f>
        <v>2205</v>
      </c>
      <c r="C185" s="73" t="n">
        <f aca="false">C184*(1+'Supuestos y proyección'!$B$8)</f>
        <v>2173882.47898583</v>
      </c>
      <c r="D185" s="73" t="n">
        <f aca="false">C185</f>
        <v>2173882.47898583</v>
      </c>
      <c r="E185" s="73" t="n">
        <f aca="false">E184+D185</f>
        <v>56441707.8757723</v>
      </c>
      <c r="F185" s="73" t="n">
        <f aca="false">C185</f>
        <v>2173882.47898583</v>
      </c>
      <c r="G185" s="73" t="n">
        <f aca="false">G184+F185</f>
        <v>56436307.8757723</v>
      </c>
    </row>
    <row r="186" customFormat="false" ht="15" hidden="false" customHeight="false" outlineLevel="0" collapsed="false">
      <c r="A186" s="72" t="n">
        <v>181</v>
      </c>
      <c r="B186" s="72" t="n">
        <f aca="false">B185+1</f>
        <v>2206</v>
      </c>
      <c r="C186" s="73" t="n">
        <f aca="false">C185*(1+'Supuestos y proyección'!$B$8)</f>
        <v>2260837.77814527</v>
      </c>
      <c r="D186" s="73" t="n">
        <f aca="false">C186</f>
        <v>2260837.77814527</v>
      </c>
      <c r="E186" s="73" t="n">
        <f aca="false">E185+D186</f>
        <v>58702545.6539176</v>
      </c>
      <c r="F186" s="73" t="n">
        <f aca="false">C186</f>
        <v>2260837.77814527</v>
      </c>
      <c r="G186" s="73" t="n">
        <f aca="false">G185+F186</f>
        <v>58697145.6539176</v>
      </c>
    </row>
    <row r="187" customFormat="false" ht="15" hidden="false" customHeight="false" outlineLevel="0" collapsed="false">
      <c r="A187" s="72" t="n">
        <v>182</v>
      </c>
      <c r="B187" s="72" t="n">
        <f aca="false">B186+1</f>
        <v>2207</v>
      </c>
      <c r="C187" s="73" t="n">
        <f aca="false">C186*(1+'Supuestos y proyección'!$B$8)</f>
        <v>2351271.28927108</v>
      </c>
      <c r="D187" s="73" t="n">
        <f aca="false">C187</f>
        <v>2351271.28927108</v>
      </c>
      <c r="E187" s="73" t="n">
        <f aca="false">E186+D187</f>
        <v>61053816.9431887</v>
      </c>
      <c r="F187" s="73" t="n">
        <f aca="false">C187</f>
        <v>2351271.28927108</v>
      </c>
      <c r="G187" s="73" t="n">
        <f aca="false">G186+F187</f>
        <v>61048416.9431887</v>
      </c>
    </row>
    <row r="188" customFormat="false" ht="15" hidden="false" customHeight="false" outlineLevel="0" collapsed="false">
      <c r="A188" s="72" t="n">
        <v>183</v>
      </c>
      <c r="B188" s="72" t="n">
        <f aca="false">B187+1</f>
        <v>2208</v>
      </c>
      <c r="C188" s="73" t="n">
        <f aca="false">C187*(1+'Supuestos y proyección'!$B$8)</f>
        <v>2445322.14084192</v>
      </c>
      <c r="D188" s="73" t="n">
        <f aca="false">C188</f>
        <v>2445322.14084192</v>
      </c>
      <c r="E188" s="73" t="n">
        <f aca="false">E187+D188</f>
        <v>63499139.0840306</v>
      </c>
      <c r="F188" s="73" t="n">
        <f aca="false">C188</f>
        <v>2445322.14084192</v>
      </c>
      <c r="G188" s="73" t="n">
        <f aca="false">G187+F188</f>
        <v>63493739.0840306</v>
      </c>
    </row>
    <row r="189" customFormat="false" ht="15" hidden="false" customHeight="false" outlineLevel="0" collapsed="false">
      <c r="A189" s="72" t="n">
        <v>184</v>
      </c>
      <c r="B189" s="72" t="n">
        <f aca="false">B188+1</f>
        <v>2209</v>
      </c>
      <c r="C189" s="73" t="n">
        <f aca="false">C188*(1+'Supuestos y proyección'!$B$8)</f>
        <v>2543135.0264756</v>
      </c>
      <c r="D189" s="73" t="n">
        <f aca="false">C189</f>
        <v>2543135.0264756</v>
      </c>
      <c r="E189" s="73" t="n">
        <f aca="false">E188+D189</f>
        <v>66042274.1105062</v>
      </c>
      <c r="F189" s="73" t="n">
        <f aca="false">C189</f>
        <v>2543135.0264756</v>
      </c>
      <c r="G189" s="73" t="n">
        <f aca="false">G188+F189</f>
        <v>66036874.1105062</v>
      </c>
    </row>
    <row r="190" customFormat="false" ht="15" hidden="false" customHeight="false" outlineLevel="0" collapsed="false">
      <c r="A190" s="72" t="n">
        <v>185</v>
      </c>
      <c r="B190" s="72" t="n">
        <f aca="false">B189+1</f>
        <v>2210</v>
      </c>
      <c r="C190" s="73" t="n">
        <f aca="false">C189*(1+'Supuestos y proyección'!$B$8)</f>
        <v>2644860.42753462</v>
      </c>
      <c r="D190" s="73" t="n">
        <f aca="false">C190</f>
        <v>2644860.42753462</v>
      </c>
      <c r="E190" s="73" t="n">
        <f aca="false">E189+D190</f>
        <v>68687134.5380408</v>
      </c>
      <c r="F190" s="73" t="n">
        <f aca="false">C190</f>
        <v>2644860.42753462</v>
      </c>
      <c r="G190" s="73" t="n">
        <f aca="false">G189+F190</f>
        <v>68681734.5380408</v>
      </c>
    </row>
    <row r="191" customFormat="false" ht="15" hidden="false" customHeight="false" outlineLevel="0" collapsed="false">
      <c r="A191" s="72" t="n">
        <v>186</v>
      </c>
      <c r="B191" s="72" t="n">
        <f aca="false">B190+1</f>
        <v>2211</v>
      </c>
      <c r="C191" s="73" t="n">
        <f aca="false">C190*(1+'Supuestos y proyección'!$B$8)</f>
        <v>2750654.84463601</v>
      </c>
      <c r="D191" s="73" t="n">
        <f aca="false">C191</f>
        <v>2750654.84463601</v>
      </c>
      <c r="E191" s="73" t="n">
        <f aca="false">E190+D191</f>
        <v>71437789.3826768</v>
      </c>
      <c r="F191" s="73" t="n">
        <f aca="false">C191</f>
        <v>2750654.84463601</v>
      </c>
      <c r="G191" s="73" t="n">
        <f aca="false">G190+F191</f>
        <v>71432389.3826768</v>
      </c>
    </row>
    <row r="192" customFormat="false" ht="15" hidden="false" customHeight="false" outlineLevel="0" collapsed="false">
      <c r="A192" s="72" t="n">
        <v>187</v>
      </c>
      <c r="B192" s="72" t="n">
        <f aca="false">B191+1</f>
        <v>2212</v>
      </c>
      <c r="C192" s="73" t="n">
        <f aca="false">C191*(1+'Supuestos y proyección'!$B$8)</f>
        <v>2860681.03842145</v>
      </c>
      <c r="D192" s="73" t="n">
        <f aca="false">C192</f>
        <v>2860681.03842145</v>
      </c>
      <c r="E192" s="73" t="n">
        <f aca="false">E191+D192</f>
        <v>74298470.4210983</v>
      </c>
      <c r="F192" s="73" t="n">
        <f aca="false">C192</f>
        <v>2860681.03842145</v>
      </c>
      <c r="G192" s="73" t="n">
        <f aca="false">G191+F192</f>
        <v>74293070.4210983</v>
      </c>
    </row>
    <row r="193" customFormat="false" ht="15" hidden="false" customHeight="false" outlineLevel="0" collapsed="false">
      <c r="A193" s="72" t="n">
        <v>188</v>
      </c>
      <c r="B193" s="72" t="n">
        <f aca="false">B192+1</f>
        <v>2213</v>
      </c>
      <c r="C193" s="73" t="n">
        <f aca="false">C192*(1+'Supuestos y proyección'!$B$8)</f>
        <v>2975108.27995831</v>
      </c>
      <c r="D193" s="73" t="n">
        <f aca="false">C193</f>
        <v>2975108.27995831</v>
      </c>
      <c r="E193" s="73" t="n">
        <f aca="false">E192+D193</f>
        <v>77273578.7010566</v>
      </c>
      <c r="F193" s="73" t="n">
        <f aca="false">C193</f>
        <v>2975108.27995831</v>
      </c>
      <c r="G193" s="73" t="n">
        <f aca="false">G192+F193</f>
        <v>77268178.7010566</v>
      </c>
    </row>
    <row r="194" customFormat="false" ht="15" hidden="false" customHeight="false" outlineLevel="0" collapsed="false">
      <c r="A194" s="72" t="n">
        <v>189</v>
      </c>
      <c r="B194" s="72" t="n">
        <f aca="false">B193+1</f>
        <v>2214</v>
      </c>
      <c r="C194" s="73" t="n">
        <f aca="false">C193*(1+'Supuestos y proyección'!$B$8)</f>
        <v>3094112.61115664</v>
      </c>
      <c r="D194" s="73" t="n">
        <f aca="false">C194</f>
        <v>3094112.61115664</v>
      </c>
      <c r="E194" s="73" t="n">
        <f aca="false">E193+D194</f>
        <v>80367691.3122132</v>
      </c>
      <c r="F194" s="73" t="n">
        <f aca="false">C194</f>
        <v>3094112.61115664</v>
      </c>
      <c r="G194" s="73" t="n">
        <f aca="false">G193+F194</f>
        <v>80362291.3122132</v>
      </c>
    </row>
    <row r="195" customFormat="false" ht="15" hidden="false" customHeight="false" outlineLevel="0" collapsed="false">
      <c r="A195" s="72" t="n">
        <v>190</v>
      </c>
      <c r="B195" s="72" t="n">
        <f aca="false">B194+1</f>
        <v>2215</v>
      </c>
      <c r="C195" s="73" t="n">
        <f aca="false">C194*(1+'Supuestos y proyección'!$B$8)</f>
        <v>3217877.1156029</v>
      </c>
      <c r="D195" s="73" t="n">
        <f aca="false">C195</f>
        <v>3217877.1156029</v>
      </c>
      <c r="E195" s="73" t="n">
        <f aca="false">E194+D195</f>
        <v>83585568.4278161</v>
      </c>
      <c r="F195" s="73" t="n">
        <f aca="false">C195</f>
        <v>3217877.1156029</v>
      </c>
      <c r="G195" s="73" t="n">
        <f aca="false">G194+F195</f>
        <v>83580168.4278161</v>
      </c>
    </row>
    <row r="196" customFormat="false" ht="15" hidden="false" customHeight="false" outlineLevel="0" collapsed="false">
      <c r="A196" s="72" t="n">
        <v>191</v>
      </c>
      <c r="B196" s="72" t="n">
        <f aca="false">B195+1</f>
        <v>2216</v>
      </c>
      <c r="C196" s="73" t="n">
        <f aca="false">C195*(1+'Supuestos y proyección'!$B$8)</f>
        <v>3346592.20022702</v>
      </c>
      <c r="D196" s="73" t="n">
        <f aca="false">C196</f>
        <v>3346592.20022702</v>
      </c>
      <c r="E196" s="73" t="n">
        <f aca="false">E195+D196</f>
        <v>86932160.6280431</v>
      </c>
      <c r="F196" s="73" t="n">
        <f aca="false">C196</f>
        <v>3346592.20022702</v>
      </c>
      <c r="G196" s="73" t="n">
        <f aca="false">G195+F196</f>
        <v>86926760.6280431</v>
      </c>
    </row>
    <row r="197" customFormat="false" ht="15" hidden="false" customHeight="false" outlineLevel="0" collapsed="false">
      <c r="A197" s="72" t="n">
        <v>192</v>
      </c>
      <c r="B197" s="72" t="n">
        <f aca="false">B196+1</f>
        <v>2217</v>
      </c>
      <c r="C197" s="73" t="n">
        <f aca="false">C196*(1+'Supuestos y proyección'!$B$8)</f>
        <v>3480455.8882361</v>
      </c>
      <c r="D197" s="73" t="n">
        <f aca="false">C197</f>
        <v>3480455.8882361</v>
      </c>
      <c r="E197" s="73" t="n">
        <f aca="false">E196+D197</f>
        <v>90412616.5162793</v>
      </c>
      <c r="F197" s="73" t="n">
        <f aca="false">C197</f>
        <v>3480455.8882361</v>
      </c>
      <c r="G197" s="73" t="n">
        <f aca="false">G196+F197</f>
        <v>90407216.5162793</v>
      </c>
    </row>
    <row r="198" customFormat="false" ht="15" hidden="false" customHeight="false" outlineLevel="0" collapsed="false">
      <c r="A198" s="72" t="n">
        <v>193</v>
      </c>
      <c r="B198" s="72" t="n">
        <f aca="false">B197+1</f>
        <v>2218</v>
      </c>
      <c r="C198" s="73" t="n">
        <f aca="false">C197*(1+'Supuestos y proyección'!$B$8)</f>
        <v>3619674.12376555</v>
      </c>
      <c r="D198" s="73" t="n">
        <f aca="false">C198</f>
        <v>3619674.12376555</v>
      </c>
      <c r="E198" s="73" t="n">
        <f aca="false">E197+D198</f>
        <v>94032290.6400448</v>
      </c>
      <c r="F198" s="73" t="n">
        <f aca="false">C198</f>
        <v>3619674.12376555</v>
      </c>
      <c r="G198" s="73" t="n">
        <f aca="false">G197+F198</f>
        <v>94026890.6400448</v>
      </c>
    </row>
    <row r="199" customFormat="false" ht="15" hidden="false" customHeight="false" outlineLevel="0" collapsed="false">
      <c r="A199" s="72" t="n">
        <v>194</v>
      </c>
      <c r="B199" s="72" t="n">
        <f aca="false">B198+1</f>
        <v>2219</v>
      </c>
      <c r="C199" s="73" t="n">
        <f aca="false">C198*(1+'Supuestos y proyección'!$B$8)</f>
        <v>3764461.08871617</v>
      </c>
      <c r="D199" s="73" t="n">
        <f aca="false">C199</f>
        <v>3764461.08871617</v>
      </c>
      <c r="E199" s="73" t="n">
        <f aca="false">E198+D199</f>
        <v>97796751.728761</v>
      </c>
      <c r="F199" s="73" t="n">
        <f aca="false">C199</f>
        <v>3764461.08871617</v>
      </c>
      <c r="G199" s="73" t="n">
        <f aca="false">G198+F199</f>
        <v>97791351.728761</v>
      </c>
    </row>
    <row r="200" customFormat="false" ht="15" hidden="false" customHeight="false" outlineLevel="0" collapsed="false">
      <c r="A200" s="72" t="n">
        <v>195</v>
      </c>
      <c r="B200" s="72" t="n">
        <f aca="false">B199+1</f>
        <v>2220</v>
      </c>
      <c r="C200" s="73" t="n">
        <f aca="false">C199*(1+'Supuestos y proyección'!$B$8)</f>
        <v>3915039.53226481</v>
      </c>
      <c r="D200" s="73" t="n">
        <f aca="false">C200</f>
        <v>3915039.53226481</v>
      </c>
      <c r="E200" s="73" t="n">
        <f aca="false">E199+D200</f>
        <v>101711791.261026</v>
      </c>
      <c r="F200" s="73" t="n">
        <f aca="false">C200</f>
        <v>3915039.53226481</v>
      </c>
      <c r="G200" s="73" t="n">
        <f aca="false">G199+F200</f>
        <v>101706391.261026</v>
      </c>
    </row>
    <row r="201" customFormat="false" ht="15" hidden="false" customHeight="false" outlineLevel="0" collapsed="false">
      <c r="A201" s="72" t="n">
        <v>196</v>
      </c>
      <c r="B201" s="72" t="n">
        <f aca="false">B200+1</f>
        <v>2221</v>
      </c>
      <c r="C201" s="73" t="n">
        <f aca="false">C200*(1+'Supuestos y proyección'!$B$8)</f>
        <v>4071641.11355541</v>
      </c>
      <c r="D201" s="73" t="n">
        <f aca="false">C201</f>
        <v>4071641.11355541</v>
      </c>
      <c r="E201" s="73" t="n">
        <f aca="false">E200+D201</f>
        <v>105783432.374581</v>
      </c>
      <c r="F201" s="73" t="n">
        <f aca="false">C201</f>
        <v>4071641.11355541</v>
      </c>
      <c r="G201" s="73" t="n">
        <f aca="false">G200+F201</f>
        <v>105778032.374581</v>
      </c>
    </row>
    <row r="202" customFormat="false" ht="15" hidden="false" customHeight="false" outlineLevel="0" collapsed="false">
      <c r="A202" s="72" t="n">
        <v>197</v>
      </c>
      <c r="B202" s="72" t="n">
        <f aca="false">B201+1</f>
        <v>2222</v>
      </c>
      <c r="C202" s="73" t="n">
        <f aca="false">C201*(1+'Supuestos y proyección'!$B$8)</f>
        <v>4234506.75809762</v>
      </c>
      <c r="D202" s="73" t="n">
        <f aca="false">C202</f>
        <v>4234506.75809762</v>
      </c>
      <c r="E202" s="73" t="n">
        <f aca="false">E201+D202</f>
        <v>110017939.132679</v>
      </c>
      <c r="F202" s="73" t="n">
        <f aca="false">C202</f>
        <v>4234506.75809762</v>
      </c>
      <c r="G202" s="73" t="n">
        <f aca="false">G201+F202</f>
        <v>110012539.132679</v>
      </c>
    </row>
    <row r="203" customFormat="false" ht="15" hidden="false" customHeight="false" outlineLevel="0" collapsed="false">
      <c r="A203" s="72" t="n">
        <v>198</v>
      </c>
      <c r="B203" s="72" t="n">
        <f aca="false">B202+1</f>
        <v>2223</v>
      </c>
      <c r="C203" s="73" t="n">
        <f aca="false">C202*(1+'Supuestos y proyección'!$B$8)</f>
        <v>4403887.02842153</v>
      </c>
      <c r="D203" s="73" t="n">
        <f aca="false">C203</f>
        <v>4403887.02842153</v>
      </c>
      <c r="E203" s="73" t="n">
        <f aca="false">E202+D203</f>
        <v>114421826.1611</v>
      </c>
      <c r="F203" s="73" t="n">
        <f aca="false">C203</f>
        <v>4403887.02842153</v>
      </c>
      <c r="G203" s="73" t="n">
        <f aca="false">G202+F203</f>
        <v>114416426.1611</v>
      </c>
    </row>
    <row r="204" customFormat="false" ht="15" hidden="false" customHeight="false" outlineLevel="0" collapsed="false">
      <c r="A204" s="72" t="n">
        <v>199</v>
      </c>
      <c r="B204" s="72" t="n">
        <f aca="false">B203+1</f>
        <v>2224</v>
      </c>
      <c r="C204" s="73" t="n">
        <f aca="false">C203*(1+'Supuestos y proyección'!$B$8)</f>
        <v>4580042.50955839</v>
      </c>
      <c r="D204" s="73" t="n">
        <f aca="false">C204</f>
        <v>4580042.50955839</v>
      </c>
      <c r="E204" s="73" t="n">
        <f aca="false">E203+D204</f>
        <v>119001868.670659</v>
      </c>
      <c r="F204" s="73" t="n">
        <f aca="false">C204</f>
        <v>4580042.50955839</v>
      </c>
      <c r="G204" s="73" t="n">
        <f aca="false">G203+F204</f>
        <v>118996468.670659</v>
      </c>
    </row>
    <row r="205" customFormat="false" ht="15" hidden="false" customHeight="false" outlineLevel="0" collapsed="false">
      <c r="A205" s="72" t="n">
        <v>200</v>
      </c>
      <c r="B205" s="72" t="n">
        <f aca="false">B204+1</f>
        <v>2225</v>
      </c>
      <c r="C205" s="73" t="n">
        <f aca="false">C204*(1+'Supuestos y proyección'!$B$8)</f>
        <v>4763244.20994073</v>
      </c>
      <c r="D205" s="73" t="n">
        <f aca="false">C205</f>
        <v>4763244.20994073</v>
      </c>
      <c r="E205" s="73" t="n">
        <f aca="false">E204+D205</f>
        <v>123765112.880599</v>
      </c>
      <c r="F205" s="73" t="n">
        <f aca="false">C205</f>
        <v>4763244.20994073</v>
      </c>
      <c r="G205" s="73" t="n">
        <f aca="false">G204+F205</f>
        <v>123759712.880599</v>
      </c>
    </row>
    <row r="206" customFormat="false" ht="15" hidden="false" customHeight="false" outlineLevel="0" collapsed="false">
      <c r="A206" s="72" t="n">
        <v>201</v>
      </c>
      <c r="B206" s="72" t="n">
        <f aca="false">B205+1</f>
        <v>2226</v>
      </c>
      <c r="C206" s="73" t="n">
        <f aca="false">C205*(1+'Supuestos y proyección'!$B$8)</f>
        <v>4953773.97833836</v>
      </c>
      <c r="D206" s="73" t="n">
        <f aca="false">C206</f>
        <v>4953773.97833836</v>
      </c>
      <c r="E206" s="73" t="n">
        <f aca="false">E205+D206</f>
        <v>128718886.858938</v>
      </c>
      <c r="F206" s="73" t="n">
        <f aca="false">C206</f>
        <v>4953773.97833836</v>
      </c>
      <c r="G206" s="73" t="n">
        <f aca="false">G205+F206</f>
        <v>128713486.858938</v>
      </c>
    </row>
    <row r="207" customFormat="false" ht="15" hidden="false" customHeight="false" outlineLevel="0" collapsed="false">
      <c r="A207" s="72" t="n">
        <v>202</v>
      </c>
      <c r="B207" s="72" t="n">
        <f aca="false">B206+1</f>
        <v>2227</v>
      </c>
      <c r="C207" s="73" t="n">
        <f aca="false">C206*(1+'Supuestos y proyección'!$B$8)</f>
        <v>5151924.93747189</v>
      </c>
      <c r="D207" s="73" t="n">
        <f aca="false">C207</f>
        <v>5151924.93747189</v>
      </c>
      <c r="E207" s="73" t="n">
        <f aca="false">E206+D207</f>
        <v>133870811.79641</v>
      </c>
      <c r="F207" s="73" t="n">
        <f aca="false">C207</f>
        <v>5151924.93747189</v>
      </c>
      <c r="G207" s="73" t="n">
        <f aca="false">G206+F207</f>
        <v>133865411.79641</v>
      </c>
    </row>
    <row r="208" customFormat="false" ht="15" hidden="false" customHeight="false" outlineLevel="0" collapsed="false">
      <c r="A208" s="72" t="n">
        <v>203</v>
      </c>
      <c r="B208" s="72" t="n">
        <f aca="false">B207+1</f>
        <v>2228</v>
      </c>
      <c r="C208" s="73" t="n">
        <f aca="false">C207*(1+'Supuestos y proyección'!$B$8)</f>
        <v>5358001.93497077</v>
      </c>
      <c r="D208" s="73" t="n">
        <f aca="false">C208</f>
        <v>5358001.93497077</v>
      </c>
      <c r="E208" s="73" t="n">
        <f aca="false">E207+D208</f>
        <v>139228813.73138</v>
      </c>
      <c r="F208" s="73" t="n">
        <f aca="false">C208</f>
        <v>5358001.93497077</v>
      </c>
      <c r="G208" s="73" t="n">
        <f aca="false">G207+F208</f>
        <v>139223413.73138</v>
      </c>
    </row>
    <row r="209" customFormat="false" ht="15" hidden="false" customHeight="false" outlineLevel="0" collapsed="false">
      <c r="A209" s="72" t="n">
        <v>204</v>
      </c>
      <c r="B209" s="72" t="n">
        <f aca="false">B208+1</f>
        <v>2229</v>
      </c>
      <c r="C209" s="73" t="n">
        <f aca="false">C208*(1+'Supuestos y proyección'!$B$8)</f>
        <v>5572322.0123696</v>
      </c>
      <c r="D209" s="73" t="n">
        <f aca="false">C209</f>
        <v>5572322.0123696</v>
      </c>
      <c r="E209" s="73" t="n">
        <f aca="false">E208+D209</f>
        <v>144801135.74375</v>
      </c>
      <c r="F209" s="73" t="n">
        <f aca="false">C209</f>
        <v>5572322.0123696</v>
      </c>
      <c r="G209" s="73" t="n">
        <f aca="false">G208+F209</f>
        <v>144795735.74375</v>
      </c>
    </row>
    <row r="210" customFormat="false" ht="15" hidden="false" customHeight="false" outlineLevel="0" collapsed="false">
      <c r="A210" s="72" t="n">
        <v>205</v>
      </c>
      <c r="B210" s="72" t="n">
        <f aca="false">B209+1</f>
        <v>2230</v>
      </c>
      <c r="C210" s="73" t="n">
        <f aca="false">C209*(1+'Supuestos y proyección'!$B$8)</f>
        <v>5795214.89286438</v>
      </c>
      <c r="D210" s="73" t="n">
        <f aca="false">C210</f>
        <v>5795214.89286438</v>
      </c>
      <c r="E210" s="73" t="n">
        <f aca="false">E209+D210</f>
        <v>150596350.636614</v>
      </c>
      <c r="F210" s="73" t="n">
        <f aca="false">C210</f>
        <v>5795214.89286438</v>
      </c>
      <c r="G210" s="73" t="n">
        <f aca="false">G209+F210</f>
        <v>150590950.636614</v>
      </c>
    </row>
    <row r="211" customFormat="false" ht="15" hidden="false" customHeight="false" outlineLevel="0" collapsed="false">
      <c r="A211" s="72" t="n">
        <v>206</v>
      </c>
      <c r="B211" s="72" t="n">
        <f aca="false">B210+1</f>
        <v>2231</v>
      </c>
      <c r="C211" s="73" t="n">
        <f aca="false">C210*(1+'Supuestos y proyección'!$B$8)</f>
        <v>6027023.48857896</v>
      </c>
      <c r="D211" s="73" t="n">
        <f aca="false">C211</f>
        <v>6027023.48857896</v>
      </c>
      <c r="E211" s="73" t="n">
        <f aca="false">E210+D211</f>
        <v>156623374.125193</v>
      </c>
      <c r="F211" s="73" t="n">
        <f aca="false">C211</f>
        <v>6027023.48857896</v>
      </c>
      <c r="G211" s="73" t="n">
        <f aca="false">G210+F211</f>
        <v>156617974.125193</v>
      </c>
    </row>
    <row r="212" customFormat="false" ht="15" hidden="false" customHeight="false" outlineLevel="0" collapsed="false">
      <c r="A212" s="72" t="n">
        <v>207</v>
      </c>
      <c r="B212" s="72" t="n">
        <f aca="false">B211+1</f>
        <v>2232</v>
      </c>
      <c r="C212" s="73" t="n">
        <f aca="false">C211*(1+'Supuestos y proyección'!$B$8)</f>
        <v>6268104.42812211</v>
      </c>
      <c r="D212" s="73" t="n">
        <f aca="false">C212</f>
        <v>6268104.42812211</v>
      </c>
      <c r="E212" s="73" t="n">
        <f aca="false">E211+D212</f>
        <v>162891478.553316</v>
      </c>
      <c r="F212" s="73" t="n">
        <f aca="false">C212</f>
        <v>6268104.42812211</v>
      </c>
      <c r="G212" s="73" t="n">
        <f aca="false">G211+F212</f>
        <v>162886078.553316</v>
      </c>
    </row>
    <row r="213" customFormat="false" ht="15" hidden="false" customHeight="false" outlineLevel="0" collapsed="false">
      <c r="A213" s="72" t="n">
        <v>208</v>
      </c>
      <c r="B213" s="72" t="n">
        <f aca="false">B212+1</f>
        <v>2233</v>
      </c>
      <c r="C213" s="73" t="n">
        <f aca="false">C212*(1+'Supuestos y proyección'!$B$8)</f>
        <v>6518828.605247</v>
      </c>
      <c r="D213" s="73" t="n">
        <f aca="false">C213</f>
        <v>6518828.605247</v>
      </c>
      <c r="E213" s="73" t="n">
        <f aca="false">E212+D213</f>
        <v>169410307.158562</v>
      </c>
      <c r="F213" s="73" t="n">
        <f aca="false">C213</f>
        <v>6518828.605247</v>
      </c>
      <c r="G213" s="73" t="n">
        <f aca="false">G212+F213</f>
        <v>169404907.158562</v>
      </c>
    </row>
    <row r="214" customFormat="false" ht="15" hidden="false" customHeight="false" outlineLevel="0" collapsed="false">
      <c r="A214" s="72" t="n">
        <v>209</v>
      </c>
      <c r="B214" s="72" t="n">
        <f aca="false">B213+1</f>
        <v>2234</v>
      </c>
      <c r="C214" s="73" t="n">
        <f aca="false">C213*(1+'Supuestos y proyección'!$B$8)</f>
        <v>6779581.74945688</v>
      </c>
      <c r="D214" s="73" t="n">
        <f aca="false">C214</f>
        <v>6779581.74945688</v>
      </c>
      <c r="E214" s="73" t="n">
        <f aca="false">E213+D214</f>
        <v>176189888.908019</v>
      </c>
      <c r="F214" s="73" t="n">
        <f aca="false">C214</f>
        <v>6779581.74945688</v>
      </c>
      <c r="G214" s="73" t="n">
        <f aca="false">G213+F214</f>
        <v>176184488.908019</v>
      </c>
    </row>
    <row r="215" customFormat="false" ht="15" hidden="false" customHeight="false" outlineLevel="0" collapsed="false">
      <c r="A215" s="72" t="n">
        <v>210</v>
      </c>
      <c r="B215" s="72" t="n">
        <f aca="false">B214+1</f>
        <v>2235</v>
      </c>
      <c r="C215" s="73" t="n">
        <f aca="false">C214*(1+'Supuestos y proyección'!$B$8)</f>
        <v>7050765.01943516</v>
      </c>
      <c r="D215" s="73" t="n">
        <f aca="false">C215</f>
        <v>7050765.01943516</v>
      </c>
      <c r="E215" s="73" t="n">
        <f aca="false">E214+D215</f>
        <v>183240653.927455</v>
      </c>
      <c r="F215" s="73" t="n">
        <f aca="false">C215</f>
        <v>7050765.01943516</v>
      </c>
      <c r="G215" s="73" t="n">
        <f aca="false">G214+F215</f>
        <v>183235253.927455</v>
      </c>
    </row>
    <row r="216" customFormat="false" ht="15" hidden="false" customHeight="false" outlineLevel="0" collapsed="false">
      <c r="A216" s="72" t="n">
        <v>211</v>
      </c>
      <c r="B216" s="72" t="n">
        <f aca="false">B215+1</f>
        <v>2236</v>
      </c>
      <c r="C216" s="73" t="n">
        <f aca="false">C215*(1+'Supuestos y proyección'!$B$8)</f>
        <v>7332795.62021256</v>
      </c>
      <c r="D216" s="73" t="n">
        <f aca="false">C216</f>
        <v>7332795.62021256</v>
      </c>
      <c r="E216" s="73" t="n">
        <f aca="false">E215+D216</f>
        <v>190573449.547667</v>
      </c>
      <c r="F216" s="73" t="n">
        <f aca="false">C216</f>
        <v>7332795.62021256</v>
      </c>
      <c r="G216" s="73" t="n">
        <f aca="false">G215+F216</f>
        <v>190568049.547667</v>
      </c>
    </row>
    <row r="217" customFormat="false" ht="15" hidden="false" customHeight="false" outlineLevel="0" collapsed="false">
      <c r="A217" s="72" t="n">
        <v>212</v>
      </c>
      <c r="B217" s="72" t="n">
        <f aca="false">B216+1</f>
        <v>2237</v>
      </c>
      <c r="C217" s="73" t="n">
        <f aca="false">C216*(1+'Supuestos y proyección'!$B$8)</f>
        <v>7626107.44502106</v>
      </c>
      <c r="D217" s="73" t="n">
        <f aca="false">C217</f>
        <v>7626107.44502106</v>
      </c>
      <c r="E217" s="73" t="n">
        <f aca="false">E216+D217</f>
        <v>198199556.992688</v>
      </c>
      <c r="F217" s="73" t="n">
        <f aca="false">C217</f>
        <v>7626107.44502106</v>
      </c>
      <c r="G217" s="73" t="n">
        <f aca="false">G216+F217</f>
        <v>198194156.992688</v>
      </c>
    </row>
    <row r="218" customFormat="false" ht="15" hidden="false" customHeight="false" outlineLevel="0" collapsed="false">
      <c r="A218" s="72" t="n">
        <v>213</v>
      </c>
      <c r="B218" s="72" t="n">
        <f aca="false">B217+1</f>
        <v>2238</v>
      </c>
      <c r="C218" s="73" t="n">
        <f aca="false">C217*(1+'Supuestos y proyección'!$B$8)</f>
        <v>7931151.74282191</v>
      </c>
      <c r="D218" s="73" t="n">
        <f aca="false">C218</f>
        <v>7931151.74282191</v>
      </c>
      <c r="E218" s="73" t="n">
        <f aca="false">E217+D218</f>
        <v>206130708.73551</v>
      </c>
      <c r="F218" s="73" t="n">
        <f aca="false">C218</f>
        <v>7931151.74282191</v>
      </c>
      <c r="G218" s="73" t="n">
        <f aca="false">G217+F218</f>
        <v>206125308.73551</v>
      </c>
    </row>
    <row r="219" customFormat="false" ht="15" hidden="false" customHeight="false" outlineLevel="0" collapsed="false">
      <c r="A219" s="72" t="n">
        <v>214</v>
      </c>
      <c r="B219" s="72" t="n">
        <f aca="false">B218+1</f>
        <v>2239</v>
      </c>
      <c r="C219" s="73" t="n">
        <f aca="false">C218*(1+'Supuestos y proyección'!$B$8)</f>
        <v>8248397.81253478</v>
      </c>
      <c r="D219" s="73" t="n">
        <f aca="false">C219</f>
        <v>8248397.81253478</v>
      </c>
      <c r="E219" s="73" t="n">
        <f aca="false">E218+D219</f>
        <v>214379106.548045</v>
      </c>
      <c r="F219" s="73" t="n">
        <f aca="false">C219</f>
        <v>8248397.81253478</v>
      </c>
      <c r="G219" s="73" t="n">
        <f aca="false">G218+F219</f>
        <v>214373706.548045</v>
      </c>
    </row>
    <row r="220" customFormat="false" ht="15" hidden="false" customHeight="false" outlineLevel="0" collapsed="false">
      <c r="A220" s="72" t="n">
        <v>215</v>
      </c>
      <c r="B220" s="72" t="n">
        <f aca="false">B219+1</f>
        <v>2240</v>
      </c>
      <c r="C220" s="73" t="n">
        <f aca="false">C219*(1+'Supuestos y proyección'!$B$8)</f>
        <v>8578333.72503617</v>
      </c>
      <c r="D220" s="73" t="n">
        <f aca="false">C220</f>
        <v>8578333.72503617</v>
      </c>
      <c r="E220" s="73" t="n">
        <f aca="false">E219+D220</f>
        <v>222957440.273081</v>
      </c>
      <c r="F220" s="73" t="n">
        <f aca="false">C220</f>
        <v>8578333.72503617</v>
      </c>
      <c r="G220" s="73" t="n">
        <f aca="false">G219+F220</f>
        <v>222952040.273081</v>
      </c>
    </row>
    <row r="221" customFormat="false" ht="15" hidden="false" customHeight="false" outlineLevel="0" collapsed="false">
      <c r="A221" s="72" t="n">
        <v>216</v>
      </c>
      <c r="B221" s="72" t="n">
        <f aca="false">B220+1</f>
        <v>2241</v>
      </c>
      <c r="C221" s="73" t="n">
        <f aca="false">C220*(1+'Supuestos y proyección'!$B$8)</f>
        <v>8921467.07403762</v>
      </c>
      <c r="D221" s="73" t="n">
        <f aca="false">C221</f>
        <v>8921467.07403762</v>
      </c>
      <c r="E221" s="73" t="n">
        <f aca="false">E220+D221</f>
        <v>231878907.347119</v>
      </c>
      <c r="F221" s="73" t="n">
        <f aca="false">C221</f>
        <v>8921467.07403762</v>
      </c>
      <c r="G221" s="73" t="n">
        <f aca="false">G220+F221</f>
        <v>231873507.347119</v>
      </c>
    </row>
    <row r="222" customFormat="false" ht="15" hidden="false" customHeight="false" outlineLevel="0" collapsed="false">
      <c r="A222" s="72" t="n">
        <v>217</v>
      </c>
      <c r="B222" s="72" t="n">
        <f aca="false">B221+1</f>
        <v>2242</v>
      </c>
      <c r="C222" s="73" t="n">
        <f aca="false">C221*(1+'Supuestos y proyección'!$B$8)</f>
        <v>9278325.75699913</v>
      </c>
      <c r="D222" s="73" t="n">
        <f aca="false">C222</f>
        <v>9278325.75699913</v>
      </c>
      <c r="E222" s="73" t="n">
        <f aca="false">E221+D222</f>
        <v>241157233.104118</v>
      </c>
      <c r="F222" s="73" t="n">
        <f aca="false">C222</f>
        <v>9278325.75699913</v>
      </c>
      <c r="G222" s="73" t="n">
        <f aca="false">G221+F222</f>
        <v>241151833.104118</v>
      </c>
    </row>
    <row r="223" customFormat="false" ht="15" hidden="false" customHeight="false" outlineLevel="0" collapsed="false">
      <c r="A223" s="72" t="n">
        <v>218</v>
      </c>
      <c r="B223" s="72" t="n">
        <f aca="false">B222+1</f>
        <v>2243</v>
      </c>
      <c r="C223" s="73" t="n">
        <f aca="false">C222*(1+'Supuestos y proyección'!$B$8)</f>
        <v>9649458.78727909</v>
      </c>
      <c r="D223" s="73" t="n">
        <f aca="false">C223</f>
        <v>9649458.78727909</v>
      </c>
      <c r="E223" s="73" t="n">
        <f aca="false">E222+D223</f>
        <v>250806691.891397</v>
      </c>
      <c r="F223" s="73" t="n">
        <f aca="false">C223</f>
        <v>9649458.78727909</v>
      </c>
      <c r="G223" s="73" t="n">
        <f aca="false">G222+F223</f>
        <v>250801291.891397</v>
      </c>
    </row>
    <row r="224" customFormat="false" ht="15" hidden="false" customHeight="false" outlineLevel="0" collapsed="false">
      <c r="A224" s="72" t="n">
        <v>219</v>
      </c>
      <c r="B224" s="72" t="n">
        <f aca="false">B223+1</f>
        <v>2244</v>
      </c>
      <c r="C224" s="73" t="n">
        <f aca="false">C223*(1+'Supuestos y proyección'!$B$8)</f>
        <v>10035437.1387703</v>
      </c>
      <c r="D224" s="73" t="n">
        <f aca="false">C224</f>
        <v>10035437.1387703</v>
      </c>
      <c r="E224" s="73" t="n">
        <f aca="false">E223+D224</f>
        <v>260842129.030167</v>
      </c>
      <c r="F224" s="73" t="n">
        <f aca="false">C224</f>
        <v>10035437.1387703</v>
      </c>
      <c r="G224" s="73" t="n">
        <f aca="false">G223+F224</f>
        <v>260836729.030167</v>
      </c>
    </row>
    <row r="225" customFormat="false" ht="15" hidden="false" customHeight="false" outlineLevel="0" collapsed="false">
      <c r="A225" s="72" t="n">
        <v>220</v>
      </c>
      <c r="B225" s="72" t="n">
        <f aca="false">B224+1</f>
        <v>2245</v>
      </c>
      <c r="C225" s="73" t="n">
        <f aca="false">C224*(1+'Supuestos y proyección'!$B$8)</f>
        <v>10436854.6243211</v>
      </c>
      <c r="D225" s="73" t="n">
        <f aca="false">C225</f>
        <v>10436854.6243211</v>
      </c>
      <c r="E225" s="73" t="n">
        <f aca="false">E224+D225</f>
        <v>271278983.654488</v>
      </c>
      <c r="F225" s="73" t="n">
        <f aca="false">C225</f>
        <v>10436854.6243211</v>
      </c>
      <c r="G225" s="73" t="n">
        <f aca="false">G224+F225</f>
        <v>271273583.654488</v>
      </c>
    </row>
    <row r="226" customFormat="false" ht="15" hidden="false" customHeight="false" outlineLevel="0" collapsed="false">
      <c r="A226" s="72" t="n">
        <v>221</v>
      </c>
      <c r="B226" s="72" t="n">
        <f aca="false">B225+1</f>
        <v>2246</v>
      </c>
      <c r="C226" s="73" t="n">
        <f aca="false">C225*(1+'Supuestos y proyección'!$B$8)</f>
        <v>10854328.8092939</v>
      </c>
      <c r="D226" s="73" t="n">
        <f aca="false">C226</f>
        <v>10854328.8092939</v>
      </c>
      <c r="E226" s="73" t="n">
        <f aca="false">E225+D226</f>
        <v>282133312.463782</v>
      </c>
      <c r="F226" s="73" t="n">
        <f aca="false">C226</f>
        <v>10854328.8092939</v>
      </c>
      <c r="G226" s="73" t="n">
        <f aca="false">G225+F226</f>
        <v>282127912.463782</v>
      </c>
    </row>
    <row r="227" customFormat="false" ht="15" hidden="false" customHeight="false" outlineLevel="0" collapsed="false">
      <c r="A227" s="72" t="n">
        <v>222</v>
      </c>
      <c r="B227" s="72" t="n">
        <f aca="false">B226+1</f>
        <v>2247</v>
      </c>
      <c r="C227" s="73" t="n">
        <f aca="false">C226*(1+'Supuestos y proyección'!$B$8)</f>
        <v>11288501.9616657</v>
      </c>
      <c r="D227" s="73" t="n">
        <f aca="false">C227</f>
        <v>11288501.9616657</v>
      </c>
      <c r="E227" s="73" t="n">
        <f aca="false">E226+D227</f>
        <v>293421814.425448</v>
      </c>
      <c r="F227" s="73" t="n">
        <f aca="false">C227</f>
        <v>11288501.9616657</v>
      </c>
      <c r="G227" s="73" t="n">
        <f aca="false">G226+F227</f>
        <v>293416414.425448</v>
      </c>
    </row>
    <row r="228" customFormat="false" ht="15" hidden="false" customHeight="false" outlineLevel="0" collapsed="false">
      <c r="A228" s="72" t="n">
        <v>223</v>
      </c>
      <c r="B228" s="72" t="n">
        <f aca="false">B227+1</f>
        <v>2248</v>
      </c>
      <c r="C228" s="73" t="n">
        <f aca="false">C227*(1+'Supuestos y proyección'!$B$8)</f>
        <v>11740042.0401323</v>
      </c>
      <c r="D228" s="73" t="n">
        <f aca="false">C228</f>
        <v>11740042.0401323</v>
      </c>
      <c r="E228" s="73" t="n">
        <f aca="false">E227+D228</f>
        <v>305161856.46558</v>
      </c>
      <c r="F228" s="73" t="n">
        <f aca="false">C228</f>
        <v>11740042.0401323</v>
      </c>
      <c r="G228" s="73" t="n">
        <f aca="false">G227+F228</f>
        <v>305156456.46558</v>
      </c>
    </row>
    <row r="229" customFormat="false" ht="15" hidden="false" customHeight="false" outlineLevel="0" collapsed="false">
      <c r="A229" s="72" t="n">
        <v>224</v>
      </c>
      <c r="B229" s="72" t="n">
        <f aca="false">B228+1</f>
        <v>2249</v>
      </c>
      <c r="C229" s="73" t="n">
        <f aca="false">C228*(1+'Supuestos y proyección'!$B$8)</f>
        <v>12209643.7217376</v>
      </c>
      <c r="D229" s="73" t="n">
        <f aca="false">C229</f>
        <v>12209643.7217376</v>
      </c>
      <c r="E229" s="73" t="n">
        <f aca="false">E228+D229</f>
        <v>317371500.187318</v>
      </c>
      <c r="F229" s="73" t="n">
        <f aca="false">C229</f>
        <v>12209643.7217376</v>
      </c>
      <c r="G229" s="73" t="n">
        <f aca="false">G228+F229</f>
        <v>317366100.187318</v>
      </c>
    </row>
    <row r="230" customFormat="false" ht="15" hidden="false" customHeight="false" outlineLevel="0" collapsed="false">
      <c r="A230" s="72" t="n">
        <v>225</v>
      </c>
      <c r="B230" s="72" t="n">
        <f aca="false">B229+1</f>
        <v>2250</v>
      </c>
      <c r="C230" s="73" t="n">
        <f aca="false">C229*(1+'Supuestos y proyección'!$B$8)</f>
        <v>12698029.4706071</v>
      </c>
      <c r="D230" s="73" t="n">
        <f aca="false">C230</f>
        <v>12698029.4706071</v>
      </c>
      <c r="E230" s="73" t="n">
        <f aca="false">E229+D230</f>
        <v>330069529.657925</v>
      </c>
      <c r="F230" s="73" t="n">
        <f aca="false">C230</f>
        <v>12698029.4706071</v>
      </c>
      <c r="G230" s="73" t="n">
        <f aca="false">G229+F230</f>
        <v>330064129.657925</v>
      </c>
    </row>
    <row r="231" customFormat="false" ht="15" hidden="false" customHeight="false" outlineLevel="0" collapsed="false">
      <c r="A231" s="72" t="n">
        <v>226</v>
      </c>
      <c r="B231" s="72" t="n">
        <f aca="false">B230+1</f>
        <v>2251</v>
      </c>
      <c r="C231" s="73" t="n">
        <f aca="false">C230*(1+'Supuestos y proyección'!$B$8)</f>
        <v>13205950.6494314</v>
      </c>
      <c r="D231" s="73" t="n">
        <f aca="false">C231</f>
        <v>13205950.6494314</v>
      </c>
      <c r="E231" s="73" t="n">
        <f aca="false">E230+D231</f>
        <v>343275480.307356</v>
      </c>
      <c r="F231" s="73" t="n">
        <f aca="false">C231</f>
        <v>13205950.6494314</v>
      </c>
      <c r="G231" s="73" t="n">
        <f aca="false">G230+F231</f>
        <v>343270080.307356</v>
      </c>
    </row>
    <row r="232" customFormat="false" ht="15" hidden="false" customHeight="false" outlineLevel="0" collapsed="false">
      <c r="A232" s="72" t="n">
        <v>227</v>
      </c>
      <c r="B232" s="72" t="n">
        <f aca="false">B231+1</f>
        <v>2252</v>
      </c>
      <c r="C232" s="73" t="n">
        <f aca="false">C231*(1+'Supuestos y proyección'!$B$8)</f>
        <v>13734188.6754086</v>
      </c>
      <c r="D232" s="73" t="n">
        <f aca="false">C232</f>
        <v>13734188.6754086</v>
      </c>
      <c r="E232" s="73" t="n">
        <f aca="false">E231+D232</f>
        <v>357009668.982765</v>
      </c>
      <c r="F232" s="73" t="n">
        <f aca="false">C232</f>
        <v>13734188.6754086</v>
      </c>
      <c r="G232" s="73" t="n">
        <f aca="false">G231+F232</f>
        <v>357004268.982765</v>
      </c>
    </row>
    <row r="233" customFormat="false" ht="15" hidden="false" customHeight="false" outlineLevel="0" collapsed="false">
      <c r="A233" s="72" t="n">
        <v>228</v>
      </c>
      <c r="B233" s="72" t="n">
        <f aca="false">B232+1</f>
        <v>2253</v>
      </c>
      <c r="C233" s="73" t="n">
        <f aca="false">C232*(1+'Supuestos y proyección'!$B$8)</f>
        <v>14283556.222425</v>
      </c>
      <c r="D233" s="73" t="n">
        <f aca="false">C233</f>
        <v>14283556.222425</v>
      </c>
      <c r="E233" s="73" t="n">
        <f aca="false">E232+D233</f>
        <v>371293225.20519</v>
      </c>
      <c r="F233" s="73" t="n">
        <f aca="false">C233</f>
        <v>14283556.222425</v>
      </c>
      <c r="G233" s="73" t="n">
        <f aca="false">G232+F233</f>
        <v>371287825.20519</v>
      </c>
    </row>
    <row r="234" customFormat="false" ht="15" hidden="false" customHeight="false" outlineLevel="0" collapsed="false">
      <c r="A234" s="72" t="n">
        <v>229</v>
      </c>
      <c r="B234" s="72" t="n">
        <f aca="false">B233+1</f>
        <v>2254</v>
      </c>
      <c r="C234" s="73" t="n">
        <f aca="false">C233*(1+'Supuestos y proyección'!$B$8)</f>
        <v>14854898.471322</v>
      </c>
      <c r="D234" s="73" t="n">
        <f aca="false">C234</f>
        <v>14854898.471322</v>
      </c>
      <c r="E234" s="73" t="n">
        <f aca="false">E233+D234</f>
        <v>386148123.676512</v>
      </c>
      <c r="F234" s="73" t="n">
        <f aca="false">C234</f>
        <v>14854898.471322</v>
      </c>
      <c r="G234" s="73" t="n">
        <f aca="false">G233+F234</f>
        <v>386142723.676512</v>
      </c>
    </row>
    <row r="235" customFormat="false" ht="15" hidden="false" customHeight="false" outlineLevel="0" collapsed="false">
      <c r="A235" s="72" t="n">
        <v>230</v>
      </c>
      <c r="B235" s="72" t="n">
        <f aca="false">B234+1</f>
        <v>2255</v>
      </c>
      <c r="C235" s="73" t="n">
        <f aca="false">C234*(1+'Supuestos y proyección'!$B$8)</f>
        <v>15449094.4101749</v>
      </c>
      <c r="D235" s="73" t="n">
        <f aca="false">C235</f>
        <v>15449094.4101749</v>
      </c>
      <c r="E235" s="73" t="n">
        <f aca="false">E234+D235</f>
        <v>401597218.086687</v>
      </c>
      <c r="F235" s="73" t="n">
        <f aca="false">C235</f>
        <v>15449094.4101749</v>
      </c>
      <c r="G235" s="73" t="n">
        <f aca="false">G234+F235</f>
        <v>401591818.086687</v>
      </c>
    </row>
    <row r="236" customFormat="false" ht="15" hidden="false" customHeight="false" outlineLevel="0" collapsed="false">
      <c r="A236" s="72" t="n">
        <v>231</v>
      </c>
      <c r="B236" s="72" t="n">
        <f aca="false">B235+1</f>
        <v>2256</v>
      </c>
      <c r="C236" s="73" t="n">
        <f aca="false">C235*(1+'Supuestos y proyección'!$B$8)</f>
        <v>16067058.1865819</v>
      </c>
      <c r="D236" s="73" t="n">
        <f aca="false">C236</f>
        <v>16067058.1865819</v>
      </c>
      <c r="E236" s="73" t="n">
        <f aca="false">E235+D236</f>
        <v>417664276.273268</v>
      </c>
      <c r="F236" s="73" t="n">
        <f aca="false">C236</f>
        <v>16067058.1865819</v>
      </c>
      <c r="G236" s="73" t="n">
        <f aca="false">G235+F236</f>
        <v>417658876.273268</v>
      </c>
    </row>
    <row r="237" customFormat="false" ht="15" hidden="false" customHeight="false" outlineLevel="0" collapsed="false">
      <c r="A237" s="72" t="n">
        <v>232</v>
      </c>
      <c r="B237" s="72" t="n">
        <f aca="false">B236+1</f>
        <v>2257</v>
      </c>
      <c r="C237" s="73" t="n">
        <f aca="false">C236*(1+'Supuestos y proyección'!$B$8)</f>
        <v>16709740.5140451</v>
      </c>
      <c r="D237" s="73" t="n">
        <f aca="false">C237</f>
        <v>16709740.5140451</v>
      </c>
      <c r="E237" s="73" t="n">
        <f aca="false">E236+D237</f>
        <v>434374016.787314</v>
      </c>
      <c r="F237" s="73" t="n">
        <f aca="false">C237</f>
        <v>16709740.5140451</v>
      </c>
      <c r="G237" s="73" t="n">
        <f aca="false">G236+F237</f>
        <v>434368616.787314</v>
      </c>
    </row>
    <row r="238" customFormat="false" ht="15" hidden="false" customHeight="false" outlineLevel="0" collapsed="false">
      <c r="A238" s="72" t="n">
        <v>233</v>
      </c>
      <c r="B238" s="72" t="n">
        <f aca="false">B237+1</f>
        <v>2258</v>
      </c>
      <c r="C238" s="73" t="n">
        <f aca="false">C237*(1+'Supuestos y proyección'!$B$8)</f>
        <v>17378130.1346069</v>
      </c>
      <c r="D238" s="73" t="n">
        <f aca="false">C238</f>
        <v>17378130.1346069</v>
      </c>
      <c r="E238" s="73" t="n">
        <f aca="false">E237+D238</f>
        <v>451752146.921921</v>
      </c>
      <c r="F238" s="73" t="n">
        <f aca="false">C238</f>
        <v>17378130.1346069</v>
      </c>
      <c r="G238" s="73" t="n">
        <f aca="false">G237+F238</f>
        <v>451746746.921921</v>
      </c>
    </row>
    <row r="239" customFormat="false" ht="15" hidden="false" customHeight="false" outlineLevel="0" collapsed="false">
      <c r="A239" s="72" t="n">
        <v>234</v>
      </c>
      <c r="B239" s="72" t="n">
        <f aca="false">B238+1</f>
        <v>2259</v>
      </c>
      <c r="C239" s="73" t="n">
        <f aca="false">C238*(1+'Supuestos y proyección'!$B$8)</f>
        <v>18073255.3399912</v>
      </c>
      <c r="D239" s="73" t="n">
        <f aca="false">C239</f>
        <v>18073255.3399912</v>
      </c>
      <c r="E239" s="73" t="n">
        <f aca="false">E238+D239</f>
        <v>469825402.261912</v>
      </c>
      <c r="F239" s="73" t="n">
        <f aca="false">C239</f>
        <v>18073255.3399912</v>
      </c>
      <c r="G239" s="73" t="n">
        <f aca="false">G238+F239</f>
        <v>469820002.261912</v>
      </c>
    </row>
    <row r="240" customFormat="false" ht="15" hidden="false" customHeight="false" outlineLevel="0" collapsed="false">
      <c r="A240" s="72" t="n">
        <v>235</v>
      </c>
      <c r="B240" s="72" t="n">
        <f aca="false">B239+1</f>
        <v>2260</v>
      </c>
      <c r="C240" s="73" t="n">
        <f aca="false">C239*(1+'Supuestos y proyección'!$B$8)</f>
        <v>18796185.5535909</v>
      </c>
      <c r="D240" s="73" t="n">
        <f aca="false">C240</f>
        <v>18796185.5535909</v>
      </c>
      <c r="E240" s="73" t="n">
        <f aca="false">E239+D240</f>
        <v>488621587.815503</v>
      </c>
      <c r="F240" s="73" t="n">
        <f aca="false">C240</f>
        <v>18796185.5535909</v>
      </c>
      <c r="G240" s="73" t="n">
        <f aca="false">G239+F240</f>
        <v>488616187.815503</v>
      </c>
    </row>
    <row r="241" customFormat="false" ht="15" hidden="false" customHeight="false" outlineLevel="0" collapsed="false">
      <c r="A241" s="72" t="n">
        <v>236</v>
      </c>
      <c r="B241" s="72" t="n">
        <f aca="false">B240+1</f>
        <v>2261</v>
      </c>
      <c r="C241" s="73" t="n">
        <f aca="false">C240*(1+'Supuestos y proyección'!$B$8)</f>
        <v>19548032.9757345</v>
      </c>
      <c r="D241" s="73" t="n">
        <f aca="false">C241</f>
        <v>19548032.9757345</v>
      </c>
      <c r="E241" s="73" t="n">
        <f aca="false">E240+D241</f>
        <v>508169620.791237</v>
      </c>
      <c r="F241" s="73" t="n">
        <f aca="false">C241</f>
        <v>19548032.9757345</v>
      </c>
      <c r="G241" s="73" t="n">
        <f aca="false">G240+F241</f>
        <v>508164220.791237</v>
      </c>
    </row>
    <row r="242" customFormat="false" ht="15" hidden="false" customHeight="false" outlineLevel="0" collapsed="false">
      <c r="A242" s="72" t="n">
        <v>237</v>
      </c>
      <c r="B242" s="72" t="n">
        <f aca="false">B241+1</f>
        <v>2262</v>
      </c>
      <c r="C242" s="73" t="n">
        <f aca="false">C241*(1+'Supuestos y proyección'!$B$8)</f>
        <v>20329954.2947639</v>
      </c>
      <c r="D242" s="73" t="n">
        <f aca="false">C242</f>
        <v>20329954.2947639</v>
      </c>
      <c r="E242" s="73" t="n">
        <f aca="false">E241+D242</f>
        <v>528499575.086001</v>
      </c>
      <c r="F242" s="73" t="n">
        <f aca="false">C242</f>
        <v>20329954.2947639</v>
      </c>
      <c r="G242" s="73" t="n">
        <f aca="false">G241+F242</f>
        <v>528494175.086001</v>
      </c>
    </row>
    <row r="243" customFormat="false" ht="15" hidden="false" customHeight="false" outlineLevel="0" collapsed="false">
      <c r="A243" s="72" t="n">
        <v>238</v>
      </c>
      <c r="B243" s="72" t="n">
        <f aca="false">B242+1</f>
        <v>2263</v>
      </c>
      <c r="C243" s="73" t="n">
        <f aca="false">C242*(1+'Supuestos y proyección'!$B$8)</f>
        <v>21143152.4665544</v>
      </c>
      <c r="D243" s="73" t="n">
        <f aca="false">C243</f>
        <v>21143152.4665544</v>
      </c>
      <c r="E243" s="73" t="n">
        <f aca="false">E242+D243</f>
        <v>549642727.552555</v>
      </c>
      <c r="F243" s="73" t="n">
        <f aca="false">C243</f>
        <v>21143152.4665544</v>
      </c>
      <c r="G243" s="73" t="n">
        <f aca="false">G242+F243</f>
        <v>549637327.552555</v>
      </c>
    </row>
    <row r="244" customFormat="false" ht="15" hidden="false" customHeight="false" outlineLevel="0" collapsed="false">
      <c r="A244" s="72" t="n">
        <v>239</v>
      </c>
      <c r="B244" s="72" t="n">
        <f aca="false">B243+1</f>
        <v>2264</v>
      </c>
      <c r="C244" s="73" t="n">
        <f aca="false">C243*(1+'Supuestos y proyección'!$B$8)</f>
        <v>21988878.5652166</v>
      </c>
      <c r="D244" s="73" t="n">
        <f aca="false">C244</f>
        <v>21988878.5652166</v>
      </c>
      <c r="E244" s="73" t="n">
        <f aca="false">E243+D244</f>
        <v>571631606.117772</v>
      </c>
      <c r="F244" s="73" t="n">
        <f aca="false">C244</f>
        <v>21988878.5652166</v>
      </c>
      <c r="G244" s="73" t="n">
        <f aca="false">G243+F244</f>
        <v>571626206.117772</v>
      </c>
    </row>
    <row r="245" customFormat="false" ht="15" hidden="false" customHeight="false" outlineLevel="0" collapsed="false">
      <c r="A245" s="72" t="n">
        <v>240</v>
      </c>
      <c r="B245" s="72" t="n">
        <f aca="false">B244+1</f>
        <v>2265</v>
      </c>
      <c r="C245" s="73" t="n">
        <f aca="false">C244*(1+'Supuestos y proyección'!$B$8)</f>
        <v>22868433.7078253</v>
      </c>
      <c r="D245" s="73" t="n">
        <f aca="false">C245</f>
        <v>22868433.7078253</v>
      </c>
      <c r="E245" s="73" t="n">
        <f aca="false">E244+D245</f>
        <v>594500039.825597</v>
      </c>
      <c r="F245" s="73" t="n">
        <f aca="false">C245</f>
        <v>22868433.7078253</v>
      </c>
      <c r="G245" s="73" t="n">
        <f aca="false">G244+F245</f>
        <v>594494639.825597</v>
      </c>
    </row>
    <row r="246" customFormat="false" ht="15" hidden="false" customHeight="false" outlineLevel="0" collapsed="false">
      <c r="A246" s="72" t="n">
        <v>241</v>
      </c>
      <c r="B246" s="72" t="n">
        <f aca="false">B245+1</f>
        <v>2266</v>
      </c>
      <c r="C246" s="73" t="n">
        <f aca="false">C245*(1+'Supuestos y proyección'!$B$8)</f>
        <v>23783171.0561383</v>
      </c>
      <c r="D246" s="73" t="n">
        <f aca="false">C246</f>
        <v>23783171.0561383</v>
      </c>
      <c r="E246" s="73" t="n">
        <f aca="false">E245+D246</f>
        <v>618283210.881736</v>
      </c>
      <c r="F246" s="73" t="n">
        <f aca="false">C246</f>
        <v>23783171.0561383</v>
      </c>
      <c r="G246" s="73" t="n">
        <f aca="false">G245+F246</f>
        <v>618277810.881736</v>
      </c>
    </row>
    <row r="247" customFormat="false" ht="15" hidden="false" customHeight="false" outlineLevel="0" collapsed="false">
      <c r="A247" s="72" t="n">
        <v>242</v>
      </c>
      <c r="B247" s="72" t="n">
        <f aca="false">B246+1</f>
        <v>2267</v>
      </c>
      <c r="C247" s="73" t="n">
        <f aca="false">C246*(1+'Supuestos y proyección'!$B$8)</f>
        <v>24734497.8983838</v>
      </c>
      <c r="D247" s="73" t="n">
        <f aca="false">C247</f>
        <v>24734497.8983838</v>
      </c>
      <c r="E247" s="73" t="n">
        <f aca="false">E246+D247</f>
        <v>643017708.780119</v>
      </c>
      <c r="F247" s="73" t="n">
        <f aca="false">C247</f>
        <v>24734497.8983838</v>
      </c>
      <c r="G247" s="73" t="n">
        <f aca="false">G246+F247</f>
        <v>643012308.780119</v>
      </c>
    </row>
    <row r="248" customFormat="false" ht="15" hidden="false" customHeight="false" outlineLevel="0" collapsed="false">
      <c r="A248" s="72" t="n">
        <v>243</v>
      </c>
      <c r="B248" s="72" t="n">
        <f aca="false">B247+1</f>
        <v>2268</v>
      </c>
      <c r="C248" s="73" t="n">
        <f aca="false">C247*(1+'Supuestos y proyección'!$B$8)</f>
        <v>25723877.8143192</v>
      </c>
      <c r="D248" s="73" t="n">
        <f aca="false">C248</f>
        <v>25723877.8143192</v>
      </c>
      <c r="E248" s="73" t="n">
        <f aca="false">E247+D248</f>
        <v>668741586.594439</v>
      </c>
      <c r="F248" s="73" t="n">
        <f aca="false">C248</f>
        <v>25723877.8143192</v>
      </c>
      <c r="G248" s="73" t="n">
        <f aca="false">G247+F248</f>
        <v>668736186.594439</v>
      </c>
    </row>
    <row r="249" customFormat="false" ht="15" hidden="false" customHeight="false" outlineLevel="0" collapsed="false">
      <c r="A249" s="72" t="n">
        <v>244</v>
      </c>
      <c r="B249" s="72" t="n">
        <f aca="false">B248+1</f>
        <v>2269</v>
      </c>
      <c r="C249" s="73" t="n">
        <f aca="false">C248*(1+'Supuestos y proyección'!$B$8)</f>
        <v>26752832.9268919</v>
      </c>
      <c r="D249" s="73" t="n">
        <f aca="false">C249</f>
        <v>26752832.9268919</v>
      </c>
      <c r="E249" s="73" t="n">
        <f aca="false">E248+D249</f>
        <v>695494419.521331</v>
      </c>
      <c r="F249" s="73" t="n">
        <f aca="false">C249</f>
        <v>26752832.9268919</v>
      </c>
      <c r="G249" s="73" t="n">
        <f aca="false">G248+F249</f>
        <v>695489019.521331</v>
      </c>
    </row>
    <row r="250" customFormat="false" ht="15" hidden="false" customHeight="false" outlineLevel="0" collapsed="false">
      <c r="A250" s="72" t="n">
        <v>245</v>
      </c>
      <c r="B250" s="72" t="n">
        <f aca="false">B249+1</f>
        <v>2270</v>
      </c>
      <c r="C250" s="73" t="n">
        <f aca="false">C249*(1+'Supuestos y proyección'!$B$8)</f>
        <v>27822946.2439676</v>
      </c>
      <c r="D250" s="73" t="n">
        <f aca="false">C250</f>
        <v>27822946.2439676</v>
      </c>
      <c r="E250" s="73" t="n">
        <f aca="false">E249+D250</f>
        <v>723317365.765298</v>
      </c>
      <c r="F250" s="73" t="n">
        <f aca="false">C250</f>
        <v>27822946.2439676</v>
      </c>
      <c r="G250" s="73" t="n">
        <f aca="false">G249+F250</f>
        <v>723311965.765298</v>
      </c>
    </row>
    <row r="251" customFormat="false" ht="15" hidden="false" customHeight="false" outlineLevel="0" collapsed="false">
      <c r="A251" s="72" t="n">
        <v>246</v>
      </c>
      <c r="B251" s="72" t="n">
        <f aca="false">B250+1</f>
        <v>2271</v>
      </c>
      <c r="C251" s="73" t="n">
        <f aca="false">C250*(1+'Supuestos y proyección'!$B$8)</f>
        <v>28935864.0937263</v>
      </c>
      <c r="D251" s="73" t="n">
        <f aca="false">C251</f>
        <v>28935864.0937263</v>
      </c>
      <c r="E251" s="73" t="n">
        <f aca="false">E250+D251</f>
        <v>752253229.859024</v>
      </c>
      <c r="F251" s="73" t="n">
        <f aca="false">C251</f>
        <v>28935864.0937263</v>
      </c>
      <c r="G251" s="73" t="n">
        <f aca="false">G250+F251</f>
        <v>752247829.859024</v>
      </c>
    </row>
    <row r="252" customFormat="false" ht="15" hidden="false" customHeight="false" outlineLevel="0" collapsed="false">
      <c r="A252" s="72" t="n">
        <v>247</v>
      </c>
      <c r="B252" s="72" t="n">
        <f aca="false">B251+1</f>
        <v>2272</v>
      </c>
      <c r="C252" s="73" t="n">
        <f aca="false">C251*(1+'Supuestos y proyección'!$B$8)</f>
        <v>30093298.6574754</v>
      </c>
      <c r="D252" s="73" t="n">
        <f aca="false">C252</f>
        <v>30093298.6574754</v>
      </c>
      <c r="E252" s="73" t="n">
        <f aca="false">E251+D252</f>
        <v>782346528.5165</v>
      </c>
      <c r="F252" s="73" t="n">
        <f aca="false">C252</f>
        <v>30093298.6574754</v>
      </c>
      <c r="G252" s="73" t="n">
        <f aca="false">G251+F252</f>
        <v>782341128.5165</v>
      </c>
    </row>
    <row r="253" customFormat="false" ht="15" hidden="false" customHeight="false" outlineLevel="0" collapsed="false">
      <c r="A253" s="72" t="n">
        <v>248</v>
      </c>
      <c r="B253" s="72" t="n">
        <f aca="false">B252+1</f>
        <v>2273</v>
      </c>
      <c r="C253" s="73" t="n">
        <f aca="false">C252*(1+'Supuestos y proyección'!$B$8)</f>
        <v>31297030.6037744</v>
      </c>
      <c r="D253" s="73" t="n">
        <f aca="false">C253</f>
        <v>31297030.6037744</v>
      </c>
      <c r="E253" s="73" t="n">
        <f aca="false">E252+D253</f>
        <v>813643559.120274</v>
      </c>
      <c r="F253" s="73" t="n">
        <f aca="false">C253</f>
        <v>31297030.6037744</v>
      </c>
      <c r="G253" s="73" t="n">
        <f aca="false">G252+F253</f>
        <v>813638159.120274</v>
      </c>
    </row>
    <row r="254" customFormat="false" ht="15" hidden="false" customHeight="false" outlineLevel="0" collapsed="false">
      <c r="A254" s="72" t="n">
        <v>249</v>
      </c>
      <c r="B254" s="72" t="n">
        <f aca="false">B253+1</f>
        <v>2274</v>
      </c>
      <c r="C254" s="73" t="n">
        <f aca="false">C253*(1+'Supuestos y proyección'!$B$8)</f>
        <v>32548911.8279254</v>
      </c>
      <c r="D254" s="73" t="n">
        <f aca="false">C254</f>
        <v>32548911.8279254</v>
      </c>
      <c r="E254" s="73" t="n">
        <f aca="false">E253+D254</f>
        <v>846192470.9482</v>
      </c>
      <c r="F254" s="73" t="n">
        <f aca="false">C254</f>
        <v>32548911.8279254</v>
      </c>
      <c r="G254" s="73" t="n">
        <f aca="false">G253+F254</f>
        <v>846187070.9482</v>
      </c>
    </row>
    <row r="255" customFormat="false" ht="15" hidden="false" customHeight="false" outlineLevel="0" collapsed="false">
      <c r="A255" s="72" t="n">
        <v>250</v>
      </c>
      <c r="B255" s="72" t="n">
        <f aca="false">B254+1</f>
        <v>2275</v>
      </c>
      <c r="C255" s="73" t="n">
        <f aca="false">C254*(1+'Supuestos y proyección'!$B$8)</f>
        <v>33850868.3010424</v>
      </c>
      <c r="D255" s="73" t="n">
        <f aca="false">C255</f>
        <v>33850868.3010424</v>
      </c>
      <c r="E255" s="73" t="n">
        <f aca="false">E254+D255</f>
        <v>880043339.249242</v>
      </c>
      <c r="F255" s="73" t="n">
        <f aca="false">C255</f>
        <v>33850868.3010424</v>
      </c>
      <c r="G255" s="73" t="n">
        <f aca="false">G254+F255</f>
        <v>880037939.249242</v>
      </c>
    </row>
    <row r="256" customFormat="false" ht="15" hidden="false" customHeight="false" outlineLevel="0" collapsed="false">
      <c r="A256" s="72" t="n">
        <v>251</v>
      </c>
      <c r="B256" s="72" t="n">
        <f aca="false">B255+1</f>
        <v>2276</v>
      </c>
      <c r="C256" s="73" t="n">
        <f aca="false">C255*(1+'Supuestos y proyección'!$B$8)</f>
        <v>35204903.0330841</v>
      </c>
      <c r="D256" s="73" t="n">
        <f aca="false">C256</f>
        <v>35204903.0330841</v>
      </c>
      <c r="E256" s="73" t="n">
        <f aca="false">E255+D256</f>
        <v>915248242.282326</v>
      </c>
      <c r="F256" s="73" t="n">
        <f aca="false">C256</f>
        <v>35204903.0330841</v>
      </c>
      <c r="G256" s="73" t="n">
        <f aca="false">G255+F256</f>
        <v>915242842.282326</v>
      </c>
    </row>
    <row r="257" customFormat="false" ht="15" hidden="false" customHeight="false" outlineLevel="0" collapsed="false">
      <c r="A257" s="72" t="n">
        <v>252</v>
      </c>
      <c r="B257" s="72" t="n">
        <f aca="false">B256+1</f>
        <v>2277</v>
      </c>
      <c r="C257" s="73" t="n">
        <f aca="false">C256*(1+'Supuestos y proyección'!$B$8)</f>
        <v>36613099.1544074</v>
      </c>
      <c r="D257" s="73" t="n">
        <f aca="false">C257</f>
        <v>36613099.1544074</v>
      </c>
      <c r="E257" s="73" t="n">
        <f aca="false">E256+D257</f>
        <v>951861341.436733</v>
      </c>
      <c r="F257" s="73" t="n">
        <f aca="false">C257</f>
        <v>36613099.1544074</v>
      </c>
      <c r="G257" s="73" t="n">
        <f aca="false">G256+F257</f>
        <v>951855941.436733</v>
      </c>
    </row>
    <row r="258" customFormat="false" ht="15" hidden="false" customHeight="false" outlineLevel="0" collapsed="false">
      <c r="A258" s="72" t="n">
        <v>253</v>
      </c>
      <c r="B258" s="72" t="n">
        <f aca="false">B257+1</f>
        <v>2278</v>
      </c>
      <c r="C258" s="73" t="n">
        <f aca="false">C257*(1+'Supuestos y proyección'!$B$8)</f>
        <v>38077623.1205837</v>
      </c>
      <c r="D258" s="73" t="n">
        <f aca="false">C258</f>
        <v>38077623.1205837</v>
      </c>
      <c r="E258" s="73" t="n">
        <f aca="false">E257+D258</f>
        <v>989938964.557317</v>
      </c>
      <c r="F258" s="73" t="n">
        <f aca="false">C258</f>
        <v>38077623.1205837</v>
      </c>
      <c r="G258" s="73" t="n">
        <f aca="false">G257+F258</f>
        <v>989933564.557317</v>
      </c>
    </row>
    <row r="259" customFormat="false" ht="15" hidden="false" customHeight="false" outlineLevel="0" collapsed="false">
      <c r="A259" s="72" t="n">
        <v>254</v>
      </c>
      <c r="B259" s="72" t="n">
        <f aca="false">B258+1</f>
        <v>2279</v>
      </c>
      <c r="C259" s="73" t="n">
        <f aca="false">C258*(1+'Supuestos y proyección'!$B$8)</f>
        <v>39600728.0454071</v>
      </c>
      <c r="D259" s="73" t="n">
        <f aca="false">C259</f>
        <v>39600728.0454071</v>
      </c>
      <c r="E259" s="73" t="n">
        <f aca="false">E258+D259</f>
        <v>1029539692.60272</v>
      </c>
      <c r="F259" s="73" t="n">
        <f aca="false">C259</f>
        <v>39600728.0454071</v>
      </c>
      <c r="G259" s="73" t="n">
        <f aca="false">G258+F259</f>
        <v>1029534292.60272</v>
      </c>
    </row>
    <row r="260" customFormat="false" ht="15" hidden="false" customHeight="false" outlineLevel="0" collapsed="false">
      <c r="A260" s="72" t="n">
        <v>255</v>
      </c>
      <c r="B260" s="72" t="n">
        <f aca="false">B259+1</f>
        <v>2280</v>
      </c>
      <c r="C260" s="73" t="n">
        <f aca="false">C259*(1+'Supuestos y proyección'!$B$8)</f>
        <v>41184757.1672234</v>
      </c>
      <c r="D260" s="73" t="n">
        <f aca="false">C260</f>
        <v>41184757.1672234</v>
      </c>
      <c r="E260" s="73" t="n">
        <f aca="false">E259+D260</f>
        <v>1070724449.76995</v>
      </c>
      <c r="F260" s="73" t="n">
        <f aca="false">C260</f>
        <v>41184757.1672234</v>
      </c>
      <c r="G260" s="73" t="n">
        <f aca="false">G259+F260</f>
        <v>1070719049.76995</v>
      </c>
    </row>
    <row r="261" customFormat="false" ht="15" hidden="false" customHeight="false" outlineLevel="0" collapsed="false">
      <c r="A261" s="72" t="n">
        <v>256</v>
      </c>
      <c r="B261" s="72" t="n">
        <f aca="false">B260+1</f>
        <v>2281</v>
      </c>
      <c r="C261" s="73" t="n">
        <f aca="false">C260*(1+'Supuestos y proyección'!$B$8)</f>
        <v>42832147.4539123</v>
      </c>
      <c r="D261" s="73" t="n">
        <f aca="false">C261</f>
        <v>42832147.4539123</v>
      </c>
      <c r="E261" s="73" t="n">
        <f aca="false">E260+D261</f>
        <v>1113556597.22386</v>
      </c>
      <c r="F261" s="73" t="n">
        <f aca="false">C261</f>
        <v>42832147.4539123</v>
      </c>
      <c r="G261" s="73" t="n">
        <f aca="false">G260+F261</f>
        <v>1113551197.22386</v>
      </c>
    </row>
    <row r="262" customFormat="false" ht="15" hidden="false" customHeight="false" outlineLevel="0" collapsed="false">
      <c r="A262" s="72" t="n">
        <v>257</v>
      </c>
      <c r="B262" s="72" t="n">
        <f aca="false">B261+1</f>
        <v>2282</v>
      </c>
      <c r="C262" s="73" t="n">
        <f aca="false">C261*(1+'Supuestos y proyección'!$B$8)</f>
        <v>44545433.3520688</v>
      </c>
      <c r="D262" s="73" t="n">
        <f aca="false">C262</f>
        <v>44545433.3520688</v>
      </c>
      <c r="E262" s="73" t="n">
        <f aca="false">E261+D262</f>
        <v>1158102030.57593</v>
      </c>
      <c r="F262" s="73" t="n">
        <f aca="false">C262</f>
        <v>44545433.3520688</v>
      </c>
      <c r="G262" s="73" t="n">
        <f aca="false">G261+F262</f>
        <v>1158096630.57593</v>
      </c>
    </row>
    <row r="263" customFormat="false" ht="15" hidden="false" customHeight="false" outlineLevel="0" collapsed="false">
      <c r="A263" s="72" t="n">
        <v>258</v>
      </c>
      <c r="B263" s="72" t="n">
        <f aca="false">B262+1</f>
        <v>2283</v>
      </c>
      <c r="C263" s="73" t="n">
        <f aca="false">C262*(1+'Supuestos y proyección'!$B$8)</f>
        <v>46327250.6861516</v>
      </c>
      <c r="D263" s="73" t="n">
        <f aca="false">C263</f>
        <v>46327250.6861516</v>
      </c>
      <c r="E263" s="73" t="n">
        <f aca="false">E262+D263</f>
        <v>1204429281.26208</v>
      </c>
      <c r="F263" s="73" t="n">
        <f aca="false">C263</f>
        <v>46327250.6861516</v>
      </c>
      <c r="G263" s="73" t="n">
        <f aca="false">G262+F263</f>
        <v>1204423881.26208</v>
      </c>
    </row>
    <row r="264" customFormat="false" ht="15" hidden="false" customHeight="false" outlineLevel="0" collapsed="false">
      <c r="A264" s="72" t="n">
        <v>259</v>
      </c>
      <c r="B264" s="72" t="n">
        <f aca="false">B263+1</f>
        <v>2284</v>
      </c>
      <c r="C264" s="73" t="n">
        <f aca="false">C263*(1+'Supuestos y proyección'!$B$8)</f>
        <v>48180340.7135976</v>
      </c>
      <c r="D264" s="73" t="n">
        <f aca="false">C264</f>
        <v>48180340.7135976</v>
      </c>
      <c r="E264" s="73" t="n">
        <f aca="false">E263+D264</f>
        <v>1252609621.97568</v>
      </c>
      <c r="F264" s="73" t="n">
        <f aca="false">C264</f>
        <v>48180340.7135976</v>
      </c>
      <c r="G264" s="73" t="n">
        <f aca="false">G263+F264</f>
        <v>1252604221.97568</v>
      </c>
    </row>
    <row r="265" customFormat="false" ht="15" hidden="false" customHeight="false" outlineLevel="0" collapsed="false">
      <c r="A265" s="72" t="n">
        <v>260</v>
      </c>
      <c r="B265" s="72" t="n">
        <f aca="false">B264+1</f>
        <v>2285</v>
      </c>
      <c r="C265" s="73" t="n">
        <f aca="false">C264*(1+'Supuestos y proyección'!$B$8)</f>
        <v>50107554.3421415</v>
      </c>
      <c r="D265" s="73" t="n">
        <f aca="false">C265</f>
        <v>50107554.3421415</v>
      </c>
      <c r="E265" s="73" t="n">
        <f aca="false">E264+D265</f>
        <v>1302717176.31782</v>
      </c>
      <c r="F265" s="73" t="n">
        <f aca="false">C265</f>
        <v>50107554.3421415</v>
      </c>
      <c r="G265" s="73" t="n">
        <f aca="false">G264+F265</f>
        <v>1302711776.31782</v>
      </c>
    </row>
    <row r="266" customFormat="false" ht="15" hidden="false" customHeight="false" outlineLevel="0" collapsed="false">
      <c r="A266" s="72" t="n">
        <v>261</v>
      </c>
      <c r="B266" s="72" t="n">
        <f aca="false">B265+1</f>
        <v>2286</v>
      </c>
      <c r="C266" s="73" t="n">
        <f aca="false">C265*(1+'Supuestos y proyección'!$B$8)</f>
        <v>52111856.5158272</v>
      </c>
      <c r="D266" s="73" t="n">
        <f aca="false">C266</f>
        <v>52111856.5158272</v>
      </c>
      <c r="E266" s="73" t="n">
        <f aca="false">E265+D266</f>
        <v>1354829032.83365</v>
      </c>
      <c r="F266" s="73" t="n">
        <f aca="false">C266</f>
        <v>52111856.5158272</v>
      </c>
      <c r="G266" s="73" t="n">
        <f aca="false">G265+F266</f>
        <v>1354823632.83365</v>
      </c>
    </row>
    <row r="267" customFormat="false" ht="15" hidden="false" customHeight="false" outlineLevel="0" collapsed="false">
      <c r="A267" s="72" t="n">
        <v>262</v>
      </c>
      <c r="B267" s="72" t="n">
        <f aca="false">B266+1</f>
        <v>2287</v>
      </c>
      <c r="C267" s="73" t="n">
        <f aca="false">C266*(1+'Supuestos y proyección'!$B$8)</f>
        <v>54196330.7764603</v>
      </c>
      <c r="D267" s="73" t="n">
        <f aca="false">C267</f>
        <v>54196330.7764603</v>
      </c>
      <c r="E267" s="73" t="n">
        <f aca="false">E266+D267</f>
        <v>1409025363.61011</v>
      </c>
      <c r="F267" s="73" t="n">
        <f aca="false">C267</f>
        <v>54196330.7764603</v>
      </c>
      <c r="G267" s="73" t="n">
        <f aca="false">G266+F267</f>
        <v>1409019963.61011</v>
      </c>
    </row>
    <row r="268" customFormat="false" ht="15" hidden="false" customHeight="false" outlineLevel="0" collapsed="false">
      <c r="A268" s="72" t="n">
        <v>263</v>
      </c>
      <c r="B268" s="72" t="n">
        <f aca="false">B267+1</f>
        <v>2288</v>
      </c>
      <c r="C268" s="73" t="n">
        <f aca="false">C267*(1+'Supuestos y proyección'!$B$8)</f>
        <v>56364184.0075187</v>
      </c>
      <c r="D268" s="73" t="n">
        <f aca="false">C268</f>
        <v>56364184.0075187</v>
      </c>
      <c r="E268" s="73" t="n">
        <f aca="false">E267+D268</f>
        <v>1465389547.61763</v>
      </c>
      <c r="F268" s="73" t="n">
        <f aca="false">C268</f>
        <v>56364184.0075187</v>
      </c>
      <c r="G268" s="73" t="n">
        <f aca="false">G267+F268</f>
        <v>1465384147.61763</v>
      </c>
    </row>
    <row r="269" customFormat="false" ht="15" hidden="false" customHeight="false" outlineLevel="0" collapsed="false">
      <c r="A269" s="72" t="n">
        <v>264</v>
      </c>
      <c r="B269" s="72" t="n">
        <f aca="false">B268+1</f>
        <v>2289</v>
      </c>
      <c r="C269" s="73" t="n">
        <f aca="false">C268*(1+'Supuestos y proyección'!$B$8)</f>
        <v>58618751.3678194</v>
      </c>
      <c r="D269" s="73" t="n">
        <f aca="false">C269</f>
        <v>58618751.3678194</v>
      </c>
      <c r="E269" s="73" t="n">
        <f aca="false">E268+D269</f>
        <v>1524008298.98545</v>
      </c>
      <c r="F269" s="73" t="n">
        <f aca="false">C269</f>
        <v>58618751.3678194</v>
      </c>
      <c r="G269" s="73" t="n">
        <f aca="false">G268+F269</f>
        <v>1524002898.98545</v>
      </c>
    </row>
    <row r="270" customFormat="false" ht="15" hidden="false" customHeight="false" outlineLevel="0" collapsed="false">
      <c r="A270" s="72" t="n">
        <v>265</v>
      </c>
      <c r="B270" s="72" t="n">
        <f aca="false">B269+1</f>
        <v>2290</v>
      </c>
      <c r="C270" s="73" t="n">
        <f aca="false">C269*(1+'Supuestos y proyección'!$B$8)</f>
        <v>60963501.4225322</v>
      </c>
      <c r="D270" s="73" t="n">
        <f aca="false">C270</f>
        <v>60963501.4225322</v>
      </c>
      <c r="E270" s="73" t="n">
        <f aca="false">E269+D270</f>
        <v>1584971800.40798</v>
      </c>
      <c r="F270" s="73" t="n">
        <f aca="false">C270</f>
        <v>60963501.4225322</v>
      </c>
      <c r="G270" s="73" t="n">
        <f aca="false">G269+F270</f>
        <v>1584966400.40798</v>
      </c>
    </row>
    <row r="271" customFormat="false" ht="15" hidden="false" customHeight="false" outlineLevel="0" collapsed="false">
      <c r="A271" s="72" t="n">
        <v>266</v>
      </c>
      <c r="B271" s="72" t="n">
        <f aca="false">B270+1</f>
        <v>2291</v>
      </c>
      <c r="C271" s="73" t="n">
        <f aca="false">C270*(1+'Supuestos y proyección'!$B$8)</f>
        <v>63402041.4794335</v>
      </c>
      <c r="D271" s="73" t="n">
        <f aca="false">C271</f>
        <v>63402041.4794335</v>
      </c>
      <c r="E271" s="73" t="n">
        <f aca="false">E270+D271</f>
        <v>1648373841.88741</v>
      </c>
      <c r="F271" s="73" t="n">
        <f aca="false">C271</f>
        <v>63402041.4794335</v>
      </c>
      <c r="G271" s="73" t="n">
        <f aca="false">G270+F271</f>
        <v>1648368441.88741</v>
      </c>
    </row>
    <row r="272" customFormat="false" ht="15" hidden="false" customHeight="false" outlineLevel="0" collapsed="false">
      <c r="A272" s="72" t="n">
        <v>267</v>
      </c>
      <c r="B272" s="72" t="n">
        <f aca="false">B271+1</f>
        <v>2292</v>
      </c>
      <c r="C272" s="73" t="n">
        <f aca="false">C271*(1+'Supuestos y proyección'!$B$8)</f>
        <v>65938123.1386109</v>
      </c>
      <c r="D272" s="73" t="n">
        <f aca="false">C272</f>
        <v>65938123.1386109</v>
      </c>
      <c r="E272" s="73" t="n">
        <f aca="false">E271+D272</f>
        <v>1714311965.02602</v>
      </c>
      <c r="F272" s="73" t="n">
        <f aca="false">C272</f>
        <v>65938123.1386109</v>
      </c>
      <c r="G272" s="73" t="n">
        <f aca="false">G271+F272</f>
        <v>1714306565.02602</v>
      </c>
    </row>
    <row r="273" customFormat="false" ht="15" hidden="false" customHeight="false" outlineLevel="0" collapsed="false">
      <c r="A273" s="72" t="n">
        <v>268</v>
      </c>
      <c r="B273" s="72" t="n">
        <f aca="false">B272+1</f>
        <v>2293</v>
      </c>
      <c r="C273" s="73" t="n">
        <f aca="false">C272*(1+'Supuestos y proyección'!$B$8)</f>
        <v>68575648.0641553</v>
      </c>
      <c r="D273" s="73" t="n">
        <f aca="false">C273</f>
        <v>68575648.0641553</v>
      </c>
      <c r="E273" s="73" t="n">
        <f aca="false">E272+D273</f>
        <v>1782887613.09018</v>
      </c>
      <c r="F273" s="73" t="n">
        <f aca="false">C273</f>
        <v>68575648.0641553</v>
      </c>
      <c r="G273" s="73" t="n">
        <f aca="false">G272+F273</f>
        <v>1782882213.09018</v>
      </c>
    </row>
    <row r="274" customFormat="false" ht="15" hidden="false" customHeight="false" outlineLevel="0" collapsed="false">
      <c r="A274" s="72" t="n">
        <v>269</v>
      </c>
      <c r="B274" s="72" t="n">
        <f aca="false">B273+1</f>
        <v>2294</v>
      </c>
      <c r="C274" s="73" t="n">
        <f aca="false">C273*(1+'Supuestos y proyección'!$B$8)</f>
        <v>71318673.9867215</v>
      </c>
      <c r="D274" s="73" t="n">
        <f aca="false">C274</f>
        <v>71318673.9867215</v>
      </c>
      <c r="E274" s="73" t="n">
        <f aca="false">E273+D274</f>
        <v>1854206287.0769</v>
      </c>
      <c r="F274" s="73" t="n">
        <f aca="false">C274</f>
        <v>71318673.9867215</v>
      </c>
      <c r="G274" s="73" t="n">
        <f aca="false">G273+F274</f>
        <v>1854200887.0769</v>
      </c>
    </row>
    <row r="275" customFormat="false" ht="15" hidden="false" customHeight="false" outlineLevel="0" collapsed="false">
      <c r="A275" s="72" t="n">
        <v>270</v>
      </c>
      <c r="B275" s="72" t="n">
        <f aca="false">B274+1</f>
        <v>2295</v>
      </c>
      <c r="C275" s="73" t="n">
        <f aca="false">C274*(1+'Supuestos y proyección'!$B$8)</f>
        <v>74171420.9461904</v>
      </c>
      <c r="D275" s="73" t="n">
        <f aca="false">C275</f>
        <v>74171420.9461904</v>
      </c>
      <c r="E275" s="73" t="n">
        <f aca="false">E274+D275</f>
        <v>1928377708.02309</v>
      </c>
      <c r="F275" s="73" t="n">
        <f aca="false">C275</f>
        <v>74171420.9461904</v>
      </c>
      <c r="G275" s="73" t="n">
        <f aca="false">G274+F275</f>
        <v>1928372308.02309</v>
      </c>
    </row>
    <row r="276" customFormat="false" ht="15" hidden="false" customHeight="false" outlineLevel="0" collapsed="false">
      <c r="A276" s="72" t="n">
        <v>271</v>
      </c>
      <c r="B276" s="72" t="n">
        <f aca="false">B275+1</f>
        <v>2296</v>
      </c>
      <c r="C276" s="73" t="n">
        <f aca="false">C275*(1+'Supuestos y proyección'!$B$8)</f>
        <v>77138277.784038</v>
      </c>
      <c r="D276" s="73" t="n">
        <f aca="false">C276</f>
        <v>77138277.784038</v>
      </c>
      <c r="E276" s="73" t="n">
        <f aca="false">E275+D276</f>
        <v>2005515985.80713</v>
      </c>
      <c r="F276" s="73" t="n">
        <f aca="false">C276</f>
        <v>77138277.784038</v>
      </c>
      <c r="G276" s="73" t="n">
        <f aca="false">G275+F276</f>
        <v>2005510585.80713</v>
      </c>
    </row>
    <row r="277" customFormat="false" ht="15" hidden="false" customHeight="false" outlineLevel="0" collapsed="false">
      <c r="A277" s="72" t="n">
        <v>272</v>
      </c>
      <c r="B277" s="72" t="n">
        <f aca="false">B276+1</f>
        <v>2297</v>
      </c>
      <c r="C277" s="73" t="n">
        <f aca="false">C276*(1+'Supuestos y proyección'!$B$8)</f>
        <v>80223808.8953995</v>
      </c>
      <c r="D277" s="73" t="n">
        <f aca="false">C277</f>
        <v>80223808.8953995</v>
      </c>
      <c r="E277" s="73" t="n">
        <f aca="false">E276+D277</f>
        <v>2085739794.70253</v>
      </c>
      <c r="F277" s="73" t="n">
        <f aca="false">C277</f>
        <v>80223808.8953995</v>
      </c>
      <c r="G277" s="73" t="n">
        <f aca="false">G276+F277</f>
        <v>2085734394.70253</v>
      </c>
    </row>
    <row r="278" customFormat="false" ht="15" hidden="false" customHeight="false" outlineLevel="0" collapsed="false">
      <c r="A278" s="72" t="n">
        <v>273</v>
      </c>
      <c r="B278" s="72" t="n">
        <f aca="false">B277+1</f>
        <v>2298</v>
      </c>
      <c r="C278" s="73" t="n">
        <f aca="false">C277*(1+'Supuestos y proyección'!$B$8)</f>
        <v>83432761.2512155</v>
      </c>
      <c r="D278" s="73" t="n">
        <f aca="false">C278</f>
        <v>83432761.2512155</v>
      </c>
      <c r="E278" s="73" t="n">
        <f aca="false">E277+D278</f>
        <v>2169172555.95374</v>
      </c>
      <c r="F278" s="73" t="n">
        <f aca="false">C278</f>
        <v>83432761.2512155</v>
      </c>
      <c r="G278" s="73" t="n">
        <f aca="false">G277+F278</f>
        <v>2169167155.95374</v>
      </c>
    </row>
    <row r="279" customFormat="false" ht="15" hidden="false" customHeight="false" outlineLevel="0" collapsed="false">
      <c r="A279" s="72" t="n">
        <v>274</v>
      </c>
      <c r="B279" s="72" t="n">
        <f aca="false">B278+1</f>
        <v>2299</v>
      </c>
      <c r="C279" s="73" t="n">
        <f aca="false">C278*(1+'Supuestos y proyección'!$B$8)</f>
        <v>86770071.7012641</v>
      </c>
      <c r="D279" s="73" t="n">
        <f aca="false">C279</f>
        <v>86770071.7012641</v>
      </c>
      <c r="E279" s="73" t="n">
        <f aca="false">E278+D279</f>
        <v>2255942627.65501</v>
      </c>
      <c r="F279" s="73" t="n">
        <f aca="false">C279</f>
        <v>86770071.7012641</v>
      </c>
      <c r="G279" s="73" t="n">
        <f aca="false">G278+F279</f>
        <v>2255937227.65501</v>
      </c>
    </row>
    <row r="280" customFormat="false" ht="15" hidden="false" customHeight="false" outlineLevel="0" collapsed="false">
      <c r="A280" s="72" t="n">
        <v>275</v>
      </c>
      <c r="B280" s="72" t="n">
        <f aca="false">B279+1</f>
        <v>2300</v>
      </c>
      <c r="C280" s="73" t="n">
        <f aca="false">C279*(1+'Supuestos y proyección'!$B$8)</f>
        <v>90240874.5693147</v>
      </c>
      <c r="D280" s="73" t="n">
        <f aca="false">C280</f>
        <v>90240874.5693147</v>
      </c>
      <c r="E280" s="73" t="n">
        <f aca="false">E279+D280</f>
        <v>2346183502.22432</v>
      </c>
      <c r="F280" s="73" t="n">
        <f aca="false">C280</f>
        <v>90240874.5693147</v>
      </c>
      <c r="G280" s="73" t="n">
        <f aca="false">G279+F280</f>
        <v>2346178102.22432</v>
      </c>
    </row>
    <row r="281" customFormat="false" ht="15" hidden="false" customHeight="false" outlineLevel="0" collapsed="false">
      <c r="A281" s="72" t="n">
        <v>276</v>
      </c>
      <c r="B281" s="72" t="n">
        <f aca="false">B280+1</f>
        <v>2301</v>
      </c>
      <c r="C281" s="73" t="n">
        <f aca="false">C280*(1+'Supuestos y proyección'!$B$8)</f>
        <v>93850509.5520873</v>
      </c>
      <c r="D281" s="73" t="n">
        <f aca="false">C281</f>
        <v>93850509.5520873</v>
      </c>
      <c r="E281" s="73" t="n">
        <f aca="false">E280+D281</f>
        <v>2440034011.77641</v>
      </c>
      <c r="F281" s="73" t="n">
        <f aca="false">C281</f>
        <v>93850509.5520873</v>
      </c>
      <c r="G281" s="73" t="n">
        <f aca="false">G280+F281</f>
        <v>2440028611.77641</v>
      </c>
    </row>
    <row r="282" customFormat="false" ht="15" hidden="false" customHeight="false" outlineLevel="0" collapsed="false">
      <c r="A282" s="72" t="n">
        <v>277</v>
      </c>
      <c r="B282" s="72" t="n">
        <f aca="false">B281+1</f>
        <v>2302</v>
      </c>
      <c r="C282" s="73" t="n">
        <f aca="false">C281*(1+'Supuestos y proyección'!$B$8)</f>
        <v>97604529.9341707</v>
      </c>
      <c r="D282" s="73" t="n">
        <f aca="false">C282</f>
        <v>97604529.9341707</v>
      </c>
      <c r="E282" s="73" t="n">
        <f aca="false">E281+D282</f>
        <v>2537638541.71058</v>
      </c>
      <c r="F282" s="73" t="n">
        <f aca="false">C282</f>
        <v>97604529.9341707</v>
      </c>
      <c r="G282" s="73" t="n">
        <f aca="false">G281+F282</f>
        <v>2537633141.71058</v>
      </c>
    </row>
    <row r="283" customFormat="false" ht="15" hidden="false" customHeight="false" outlineLevel="0" collapsed="false">
      <c r="A283" s="72" t="n">
        <v>278</v>
      </c>
      <c r="B283" s="72" t="n">
        <f aca="false">B282+1</f>
        <v>2303</v>
      </c>
      <c r="C283" s="73" t="n">
        <f aca="false">C282*(1+'Supuestos y proyección'!$B$8)</f>
        <v>101508711.131538</v>
      </c>
      <c r="D283" s="73" t="n">
        <f aca="false">C283</f>
        <v>101508711.131538</v>
      </c>
      <c r="E283" s="73" t="n">
        <f aca="false">E282+D283</f>
        <v>2639147252.84212</v>
      </c>
      <c r="F283" s="73" t="n">
        <f aca="false">C283</f>
        <v>101508711.131538</v>
      </c>
      <c r="G283" s="73" t="n">
        <f aca="false">G282+F283</f>
        <v>2639141852.84212</v>
      </c>
    </row>
    <row r="284" customFormat="false" ht="15" hidden="false" customHeight="false" outlineLevel="0" collapsed="false">
      <c r="A284" s="72" t="n">
        <v>279</v>
      </c>
      <c r="B284" s="72" t="n">
        <f aca="false">B283+1</f>
        <v>2304</v>
      </c>
      <c r="C284" s="73" t="n">
        <f aca="false">C283*(1+'Supuestos y proyección'!$B$8)</f>
        <v>105569059.576799</v>
      </c>
      <c r="D284" s="73" t="n">
        <f aca="false">C284</f>
        <v>105569059.576799</v>
      </c>
      <c r="E284" s="73" t="n">
        <f aca="false">E283+D284</f>
        <v>2744716312.41892</v>
      </c>
      <c r="F284" s="73" t="n">
        <f aca="false">C284</f>
        <v>105569059.576799</v>
      </c>
      <c r="G284" s="73" t="n">
        <f aca="false">G283+F284</f>
        <v>2744710912.41892</v>
      </c>
    </row>
    <row r="285" customFormat="false" ht="15" hidden="false" customHeight="false" outlineLevel="0" collapsed="false">
      <c r="A285" s="72" t="n">
        <v>280</v>
      </c>
      <c r="B285" s="72" t="n">
        <f aca="false">B284+1</f>
        <v>2305</v>
      </c>
      <c r="C285" s="73" t="n">
        <f aca="false">C284*(1+'Supuestos y proyección'!$B$8)</f>
        <v>109791821.959871</v>
      </c>
      <c r="D285" s="73" t="n">
        <f aca="false">C285</f>
        <v>109791821.959871</v>
      </c>
      <c r="E285" s="73" t="n">
        <f aca="false">E284+D285</f>
        <v>2854508134.37879</v>
      </c>
      <c r="F285" s="73" t="n">
        <f aca="false">C285</f>
        <v>109791821.959871</v>
      </c>
      <c r="G285" s="73" t="n">
        <f aca="false">G284+F285</f>
        <v>2854502734.37879</v>
      </c>
    </row>
    <row r="286" customFormat="false" ht="15" hidden="false" customHeight="false" outlineLevel="0" collapsed="false">
      <c r="A286" s="72" t="n">
        <v>281</v>
      </c>
      <c r="B286" s="72" t="n">
        <f aca="false">B285+1</f>
        <v>2306</v>
      </c>
      <c r="C286" s="73" t="n">
        <f aca="false">C285*(1+'Supuestos y proyección'!$B$8)</f>
        <v>114183494.838266</v>
      </c>
      <c r="D286" s="73" t="n">
        <f aca="false">C286</f>
        <v>114183494.838266</v>
      </c>
      <c r="E286" s="73" t="n">
        <f aca="false">E285+D286</f>
        <v>2968691629.21705</v>
      </c>
      <c r="F286" s="73" t="n">
        <f aca="false">C286</f>
        <v>114183494.838266</v>
      </c>
      <c r="G286" s="73" t="n">
        <f aca="false">G285+F286</f>
        <v>2968686229.21705</v>
      </c>
    </row>
    <row r="287" customFormat="false" ht="15" hidden="false" customHeight="false" outlineLevel="0" collapsed="false">
      <c r="A287" s="72" t="n">
        <v>282</v>
      </c>
      <c r="B287" s="72" t="n">
        <f aca="false">B286+1</f>
        <v>2307</v>
      </c>
      <c r="C287" s="73" t="n">
        <f aca="false">C286*(1+'Supuestos y proyección'!$B$8)</f>
        <v>118750834.631797</v>
      </c>
      <c r="D287" s="73" t="n">
        <f aca="false">C287</f>
        <v>118750834.631797</v>
      </c>
      <c r="E287" s="73" t="n">
        <f aca="false">E286+D287</f>
        <v>3087442463.84885</v>
      </c>
      <c r="F287" s="73" t="n">
        <f aca="false">C287</f>
        <v>118750834.631797</v>
      </c>
      <c r="G287" s="73" t="n">
        <f aca="false">G286+F287</f>
        <v>3087437063.84885</v>
      </c>
    </row>
    <row r="288" customFormat="false" ht="15" hidden="false" customHeight="false" outlineLevel="0" collapsed="false">
      <c r="A288" s="72" t="n">
        <v>283</v>
      </c>
      <c r="B288" s="72" t="n">
        <f aca="false">B287+1</f>
        <v>2308</v>
      </c>
      <c r="C288" s="73" t="n">
        <f aca="false">C287*(1+'Supuestos y proyección'!$B$8)</f>
        <v>123500868.017068</v>
      </c>
      <c r="D288" s="73" t="n">
        <f aca="false">C288</f>
        <v>123500868.017068</v>
      </c>
      <c r="E288" s="73" t="n">
        <f aca="false">E287+D288</f>
        <v>3210943331.86592</v>
      </c>
      <c r="F288" s="73" t="n">
        <f aca="false">C288</f>
        <v>123500868.017068</v>
      </c>
      <c r="G288" s="73" t="n">
        <f aca="false">G287+F288</f>
        <v>3210937931.86592</v>
      </c>
    </row>
    <row r="289" customFormat="false" ht="15" hidden="false" customHeight="false" outlineLevel="0" collapsed="false">
      <c r="A289" s="72" t="n">
        <v>284</v>
      </c>
      <c r="B289" s="72" t="n">
        <f aca="false">B288+1</f>
        <v>2309</v>
      </c>
      <c r="C289" s="73" t="n">
        <f aca="false">C288*(1+'Supuestos y proyección'!$B$8)</f>
        <v>128440902.737751</v>
      </c>
      <c r="D289" s="73" t="n">
        <f aca="false">C289</f>
        <v>128440902.737751</v>
      </c>
      <c r="E289" s="73" t="n">
        <f aca="false">E288+D289</f>
        <v>3339384234.60367</v>
      </c>
      <c r="F289" s="73" t="n">
        <f aca="false">C289</f>
        <v>128440902.737751</v>
      </c>
      <c r="G289" s="73" t="n">
        <f aca="false">G288+F289</f>
        <v>3339378834.60367</v>
      </c>
    </row>
    <row r="290" customFormat="false" ht="15" hidden="false" customHeight="false" outlineLevel="0" collapsed="false">
      <c r="A290" s="72" t="n">
        <v>285</v>
      </c>
      <c r="B290" s="72" t="n">
        <f aca="false">B289+1</f>
        <v>2310</v>
      </c>
      <c r="C290" s="73" t="n">
        <f aca="false">C289*(1+'Supuestos y proyección'!$B$8)</f>
        <v>133578538.847261</v>
      </c>
      <c r="D290" s="73" t="n">
        <f aca="false">C290</f>
        <v>133578538.847261</v>
      </c>
      <c r="E290" s="73" t="n">
        <f aca="false">E289+D290</f>
        <v>3472962773.45093</v>
      </c>
      <c r="F290" s="73" t="n">
        <f aca="false">C290</f>
        <v>133578538.847261</v>
      </c>
      <c r="G290" s="73" t="n">
        <f aca="false">G289+F290</f>
        <v>3472957373.45093</v>
      </c>
    </row>
    <row r="291" customFormat="false" ht="15" hidden="false" customHeight="false" outlineLevel="0" collapsed="false">
      <c r="A291" s="72" t="n">
        <v>286</v>
      </c>
      <c r="B291" s="72" t="n">
        <f aca="false">B290+1</f>
        <v>2311</v>
      </c>
      <c r="C291" s="73" t="n">
        <f aca="false">C290*(1+'Supuestos y proyección'!$B$8)</f>
        <v>138921680.401152</v>
      </c>
      <c r="D291" s="73" t="n">
        <f aca="false">C291</f>
        <v>138921680.401152</v>
      </c>
      <c r="E291" s="73" t="n">
        <f aca="false">E290+D291</f>
        <v>3611884453.85208</v>
      </c>
      <c r="F291" s="73" t="n">
        <f aca="false">C291</f>
        <v>138921680.401152</v>
      </c>
      <c r="G291" s="73" t="n">
        <f aca="false">G290+F291</f>
        <v>3611879053.85208</v>
      </c>
    </row>
    <row r="292" customFormat="false" ht="15" hidden="false" customHeight="false" outlineLevel="0" collapsed="false">
      <c r="A292" s="72" t="n">
        <v>287</v>
      </c>
      <c r="B292" s="72" t="n">
        <f aca="false">B291+1</f>
        <v>2312</v>
      </c>
      <c r="C292" s="73" t="n">
        <f aca="false">C291*(1+'Supuestos y proyección'!$B$8)</f>
        <v>144478547.617198</v>
      </c>
      <c r="D292" s="73" t="n">
        <f aca="false">C292</f>
        <v>144478547.617198</v>
      </c>
      <c r="E292" s="73" t="n">
        <f aca="false">E291+D292</f>
        <v>3756363001.46928</v>
      </c>
      <c r="F292" s="73" t="n">
        <f aca="false">C292</f>
        <v>144478547.617198</v>
      </c>
      <c r="G292" s="73" t="n">
        <f aca="false">G291+F292</f>
        <v>3756357601.46928</v>
      </c>
    </row>
    <row r="293" customFormat="false" ht="15" hidden="false" customHeight="false" outlineLevel="0" collapsed="false">
      <c r="A293" s="72" t="n">
        <v>288</v>
      </c>
      <c r="B293" s="72" t="n">
        <f aca="false">B292+1</f>
        <v>2313</v>
      </c>
      <c r="C293" s="73" t="n">
        <f aca="false">C292*(1+'Supuestos y proyección'!$B$8)</f>
        <v>150257689.521886</v>
      </c>
      <c r="D293" s="73" t="n">
        <f aca="false">C293</f>
        <v>150257689.521886</v>
      </c>
      <c r="E293" s="73" t="n">
        <f aca="false">E292+D293</f>
        <v>3906620690.99116</v>
      </c>
      <c r="F293" s="73" t="n">
        <f aca="false">C293</f>
        <v>150257689.521886</v>
      </c>
      <c r="G293" s="73" t="n">
        <f aca="false">G292+F293</f>
        <v>3906615290.99116</v>
      </c>
    </row>
    <row r="294" customFormat="false" ht="15" hidden="false" customHeight="false" outlineLevel="0" collapsed="false">
      <c r="A294" s="72" t="n">
        <v>289</v>
      </c>
      <c r="B294" s="72" t="n">
        <f aca="false">B293+1</f>
        <v>2314</v>
      </c>
      <c r="C294" s="73" t="n">
        <f aca="false">C293*(1+'Supuestos y proyección'!$B$8)</f>
        <v>156267997.102761</v>
      </c>
      <c r="D294" s="73" t="n">
        <f aca="false">C294</f>
        <v>156267997.102761</v>
      </c>
      <c r="E294" s="73" t="n">
        <f aca="false">E293+D294</f>
        <v>4062888688.09392</v>
      </c>
      <c r="F294" s="73" t="n">
        <f aca="false">C294</f>
        <v>156267997.102761</v>
      </c>
      <c r="G294" s="73" t="n">
        <f aca="false">G293+F294</f>
        <v>4062883288.09392</v>
      </c>
    </row>
    <row r="295" customFormat="false" ht="15" hidden="false" customHeight="false" outlineLevel="0" collapsed="false">
      <c r="A295" s="72" t="n">
        <v>290</v>
      </c>
      <c r="B295" s="72" t="n">
        <f aca="false">B294+1</f>
        <v>2315</v>
      </c>
      <c r="C295" s="73" t="n">
        <f aca="false">C294*(1+'Supuestos y proyección'!$B$8)</f>
        <v>162518716.986872</v>
      </c>
      <c r="D295" s="73" t="n">
        <f aca="false">C295</f>
        <v>162518716.986872</v>
      </c>
      <c r="E295" s="73" t="n">
        <f aca="false">E294+D295</f>
        <v>4225407405.0808</v>
      </c>
      <c r="F295" s="73" t="n">
        <f aca="false">C295</f>
        <v>162518716.986872</v>
      </c>
      <c r="G295" s="73" t="n">
        <f aca="false">G294+F295</f>
        <v>4225402005.0808</v>
      </c>
    </row>
    <row r="296" customFormat="false" ht="15" hidden="false" customHeight="false" outlineLevel="0" collapsed="false">
      <c r="A296" s="72" t="n">
        <v>291</v>
      </c>
      <c r="B296" s="72" t="n">
        <f aca="false">B295+1</f>
        <v>2316</v>
      </c>
      <c r="C296" s="73" t="n">
        <f aca="false">C295*(1+'Supuestos y proyección'!$B$8)</f>
        <v>169019465.666346</v>
      </c>
      <c r="D296" s="73" t="n">
        <f aca="false">C296</f>
        <v>169019465.666346</v>
      </c>
      <c r="E296" s="73" t="n">
        <f aca="false">E295+D296</f>
        <v>4394426870.74714</v>
      </c>
      <c r="F296" s="73" t="n">
        <f aca="false">C296</f>
        <v>169019465.666346</v>
      </c>
      <c r="G296" s="73" t="n">
        <f aca="false">G295+F296</f>
        <v>4394421470.74714</v>
      </c>
    </row>
    <row r="297" customFormat="false" ht="15" hidden="false" customHeight="false" outlineLevel="0" collapsed="false">
      <c r="A297" s="72" t="n">
        <v>292</v>
      </c>
      <c r="B297" s="72" t="n">
        <f aca="false">B296+1</f>
        <v>2317</v>
      </c>
      <c r="C297" s="73" t="n">
        <f aca="false">C296*(1+'Supuestos y proyección'!$B$8)</f>
        <v>175780244.293</v>
      </c>
      <c r="D297" s="73" t="n">
        <f aca="false">C297</f>
        <v>175780244.293</v>
      </c>
      <c r="E297" s="73" t="n">
        <f aca="false">E296+D297</f>
        <v>4570207115.04014</v>
      </c>
      <c r="F297" s="73" t="n">
        <f aca="false">C297</f>
        <v>175780244.293</v>
      </c>
      <c r="G297" s="73" t="n">
        <f aca="false">G296+F297</f>
        <v>4570201715.04014</v>
      </c>
    </row>
    <row r="298" customFormat="false" ht="15" hidden="false" customHeight="false" outlineLevel="0" collapsed="false">
      <c r="A298" s="72" t="n">
        <v>293</v>
      </c>
      <c r="B298" s="72" t="n">
        <f aca="false">B297+1</f>
        <v>2318</v>
      </c>
      <c r="C298" s="73" t="n">
        <f aca="false">C297*(1+'Supuestos y proyección'!$B$8)</f>
        <v>182811454.06472</v>
      </c>
      <c r="D298" s="73" t="n">
        <f aca="false">C298</f>
        <v>182811454.06472</v>
      </c>
      <c r="E298" s="73" t="n">
        <f aca="false">E297+D298</f>
        <v>4753018569.10486</v>
      </c>
      <c r="F298" s="73" t="n">
        <f aca="false">C298</f>
        <v>182811454.06472</v>
      </c>
      <c r="G298" s="73" t="n">
        <f aca="false">G297+F298</f>
        <v>4753013169.10486</v>
      </c>
    </row>
    <row r="299" customFormat="false" ht="15" hidden="false" customHeight="false" outlineLevel="0" collapsed="false">
      <c r="A299" s="72" t="n">
        <v>294</v>
      </c>
      <c r="B299" s="72" t="n">
        <f aca="false">B298+1</f>
        <v>2319</v>
      </c>
      <c r="C299" s="73" t="n">
        <f aca="false">C298*(1+'Supuestos y proyección'!$B$8)</f>
        <v>190123912.227309</v>
      </c>
      <c r="D299" s="73" t="n">
        <f aca="false">C299</f>
        <v>190123912.227309</v>
      </c>
      <c r="E299" s="73" t="n">
        <f aca="false">E298+D299</f>
        <v>4943142481.33217</v>
      </c>
      <c r="F299" s="73" t="n">
        <f aca="false">C299</f>
        <v>190123912.227309</v>
      </c>
      <c r="G299" s="73" t="n">
        <f aca="false">G298+F299</f>
        <v>4943137081.33217</v>
      </c>
    </row>
    <row r="300" customFormat="false" ht="15" hidden="false" customHeight="false" outlineLevel="0" collapsed="false">
      <c r="A300" s="72" t="n">
        <v>295</v>
      </c>
      <c r="B300" s="72" t="n">
        <f aca="false">B299+1</f>
        <v>2320</v>
      </c>
      <c r="C300" s="73" t="n">
        <f aca="false">C299*(1+'Supuestos y proyección'!$B$8)</f>
        <v>197728868.716401</v>
      </c>
      <c r="D300" s="73" t="n">
        <f aca="false">C300</f>
        <v>197728868.716401</v>
      </c>
      <c r="E300" s="73" t="n">
        <f aca="false">E299+D300</f>
        <v>5140871350.04857</v>
      </c>
      <c r="F300" s="73" t="n">
        <f aca="false">C300</f>
        <v>197728868.716401</v>
      </c>
      <c r="G300" s="73" t="n">
        <f aca="false">G299+F300</f>
        <v>5140865950.04857</v>
      </c>
    </row>
    <row r="301" customFormat="false" ht="15" hidden="false" customHeight="false" outlineLevel="0" collapsed="false">
      <c r="A301" s="72" t="n">
        <v>296</v>
      </c>
      <c r="B301" s="72" t="n">
        <f aca="false">B300+1</f>
        <v>2321</v>
      </c>
      <c r="C301" s="73" t="n">
        <f aca="false">C300*(1+'Supuestos y proyección'!$B$8)</f>
        <v>205638023.465058</v>
      </c>
      <c r="D301" s="73" t="n">
        <f aca="false">C301</f>
        <v>205638023.465058</v>
      </c>
      <c r="E301" s="73" t="n">
        <f aca="false">E300+D301</f>
        <v>5346509373.51363</v>
      </c>
      <c r="F301" s="73" t="n">
        <f aca="false">C301</f>
        <v>205638023.465058</v>
      </c>
      <c r="G301" s="73" t="n">
        <f aca="false">G300+F301</f>
        <v>5346503973.51363</v>
      </c>
    </row>
    <row r="302" customFormat="false" ht="15" hidden="false" customHeight="false" outlineLevel="0" collapsed="false">
      <c r="A302" s="72" t="n">
        <v>297</v>
      </c>
      <c r="B302" s="72" t="n">
        <f aca="false">B301+1</f>
        <v>2322</v>
      </c>
      <c r="C302" s="73" t="n">
        <f aca="false">C301*(1+'Supuestos y proyección'!$B$8)</f>
        <v>213863544.40366</v>
      </c>
      <c r="D302" s="73" t="n">
        <f aca="false">C302</f>
        <v>213863544.40366</v>
      </c>
      <c r="E302" s="73" t="n">
        <f aca="false">E301+D302</f>
        <v>5560372917.91729</v>
      </c>
      <c r="F302" s="73" t="n">
        <f aca="false">C302</f>
        <v>213863544.40366</v>
      </c>
      <c r="G302" s="73" t="n">
        <f aca="false">G301+F302</f>
        <v>5560367517.91729</v>
      </c>
    </row>
    <row r="303" customFormat="false" ht="15" hidden="false" customHeight="false" outlineLevel="0" collapsed="false">
      <c r="A303" s="72" t="n">
        <v>298</v>
      </c>
      <c r="B303" s="72" t="n">
        <f aca="false">B302+1</f>
        <v>2323</v>
      </c>
      <c r="C303" s="73" t="n">
        <f aca="false">C302*(1+'Supuestos y proyección'!$B$8)</f>
        <v>222418086.179806</v>
      </c>
      <c r="D303" s="73" t="n">
        <f aca="false">C303</f>
        <v>222418086.179806</v>
      </c>
      <c r="E303" s="73" t="n">
        <f aca="false">E302+D303</f>
        <v>5782791004.0971</v>
      </c>
      <c r="F303" s="73" t="n">
        <f aca="false">C303</f>
        <v>222418086.179806</v>
      </c>
      <c r="G303" s="73" t="n">
        <f aca="false">G302+F303</f>
        <v>5782785604.0971</v>
      </c>
    </row>
    <row r="304" customFormat="false" ht="15" hidden="false" customHeight="false" outlineLevel="0" collapsed="false">
      <c r="A304" s="72" t="n">
        <v>299</v>
      </c>
      <c r="B304" s="72" t="n">
        <f aca="false">B303+1</f>
        <v>2324</v>
      </c>
      <c r="C304" s="73" t="n">
        <f aca="false">C303*(1+'Supuestos y proyección'!$B$8)</f>
        <v>231314809.626998</v>
      </c>
      <c r="D304" s="73" t="n">
        <f aca="false">C304</f>
        <v>231314809.626998</v>
      </c>
      <c r="E304" s="73" t="n">
        <f aca="false">E303+D304</f>
        <v>6014105813.7241</v>
      </c>
      <c r="F304" s="73" t="n">
        <f aca="false">C304</f>
        <v>231314809.626998</v>
      </c>
      <c r="G304" s="73" t="n">
        <f aca="false">G303+F304</f>
        <v>6014100413.7241</v>
      </c>
    </row>
    <row r="305" customFormat="false" ht="15" hidden="false" customHeight="false" outlineLevel="0" collapsed="false">
      <c r="A305" s="72" t="n">
        <v>300</v>
      </c>
      <c r="B305" s="72" t="n">
        <f aca="false">B304+1</f>
        <v>2325</v>
      </c>
      <c r="C305" s="73" t="n">
        <f aca="false">C304*(1+'Supuestos y proyección'!$B$8)</f>
        <v>240567402.012078</v>
      </c>
      <c r="D305" s="73" t="n">
        <f aca="false">C305</f>
        <v>240567402.012078</v>
      </c>
      <c r="E305" s="73" t="n">
        <f aca="false">E304+D305</f>
        <v>6254673215.73617</v>
      </c>
      <c r="F305" s="73" t="n">
        <f aca="false">C305</f>
        <v>240567402.012078</v>
      </c>
      <c r="G305" s="73" t="n">
        <f aca="false">G304+F305</f>
        <v>6254667815.73617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1" t="s">
        <v>192</v>
      </c>
    </row>
    <row r="3" customFormat="false" ht="15" hidden="false" customHeight="false" outlineLevel="0" collapsed="false">
      <c r="A3" s="2" t="s">
        <v>193</v>
      </c>
      <c r="B3" s="2" t="s">
        <v>194</v>
      </c>
      <c r="C3" s="2" t="s">
        <v>195</v>
      </c>
    </row>
    <row r="4" customFormat="false" ht="15" hidden="false" customHeight="false" outlineLevel="0" collapsed="false">
      <c r="A4" s="3" t="s">
        <v>196</v>
      </c>
      <c r="B4" s="3" t="s">
        <v>197</v>
      </c>
      <c r="C4" s="3" t="s">
        <v>198</v>
      </c>
    </row>
    <row r="5" customFormat="false" ht="23.85" hidden="false" customHeight="false" outlineLevel="0" collapsed="false">
      <c r="A5" s="74" t="s">
        <v>199</v>
      </c>
      <c r="B5" s="4" t="s">
        <v>200</v>
      </c>
      <c r="C5" s="4" t="s">
        <v>201</v>
      </c>
    </row>
    <row r="6" customFormat="false" ht="15" hidden="false" customHeight="false" outlineLevel="0" collapsed="false">
      <c r="A6" s="3" t="s">
        <v>202</v>
      </c>
      <c r="B6" s="3" t="s">
        <v>203</v>
      </c>
      <c r="C6" s="3" t="s">
        <v>204</v>
      </c>
    </row>
    <row r="8" customFormat="false" ht="15" hidden="false" customHeight="false" outlineLevel="0" collapsed="false">
      <c r="A8" s="5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2026-10-11T22:55:50Z</dcterms:created>
  <dc:creator>openpyxl</dc:creator>
  <dc:description/>
  <dc:language>en-US</dc:language>
  <cp:lastModifiedBy>Luis Ricardo Rivera Goitia</cp:lastModifiedBy>
  <dcterms:modified xsi:type="dcterms:W3CDTF">2026-10-12T00:52:27Z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